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ndows\Desktop\Test Agent\excel_files\"/>
    </mc:Choice>
  </mc:AlternateContent>
  <xr:revisionPtr revIDLastSave="0" documentId="13_ncr:1_{A321B11B-610C-4CED-AB62-BEBA546221E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ổng hợp" sheetId="1" r:id="rId1"/>
    <sheet name="Function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2" l="1"/>
  <c r="Q28" i="2"/>
  <c r="A28" i="2"/>
  <c r="A27" i="2"/>
  <c r="A25" i="2"/>
  <c r="A26" i="2"/>
  <c r="A21" i="2"/>
  <c r="A22" i="2"/>
  <c r="A20" i="2"/>
  <c r="A16" i="2"/>
  <c r="A19" i="2"/>
  <c r="A14" i="2"/>
  <c r="Q14" i="2"/>
  <c r="A15" i="2"/>
  <c r="Q15" i="2"/>
  <c r="A17" i="2"/>
  <c r="A18" i="2"/>
  <c r="Q18" i="2"/>
  <c r="A24" i="2"/>
  <c r="Q26" i="2"/>
  <c r="F7" i="1" l="1"/>
  <c r="B7" i="1"/>
  <c r="F6" i="1"/>
  <c r="B6" i="1"/>
  <c r="G7" i="1"/>
  <c r="G6" i="1"/>
  <c r="F5" i="1"/>
  <c r="B5" i="1"/>
  <c r="E7" i="1" l="1"/>
  <c r="D6" i="1"/>
  <c r="I6" i="1" s="1"/>
  <c r="C6" i="1"/>
  <c r="H6" i="1" s="1"/>
  <c r="E6" i="1"/>
  <c r="C7" i="1"/>
  <c r="H7" i="1" s="1"/>
  <c r="D7" i="1"/>
  <c r="I7" i="1" s="1"/>
  <c r="G5" i="1"/>
  <c r="J6" i="1" l="1"/>
  <c r="J7" i="1"/>
  <c r="E5" i="1"/>
  <c r="C5" i="1"/>
  <c r="D5" i="1"/>
  <c r="A12" i="2" l="1"/>
  <c r="D8" i="2"/>
  <c r="G4" i="1" s="1"/>
  <c r="F4" i="1"/>
  <c r="B4" i="1"/>
  <c r="D4" i="2" l="1"/>
  <c r="C4" i="1" s="1"/>
  <c r="H4" i="1" s="1"/>
  <c r="G10" i="1"/>
  <c r="I5" i="1"/>
  <c r="D5" i="2"/>
  <c r="D4" i="1" s="1"/>
  <c r="D6" i="2"/>
  <c r="E4" i="1" s="1"/>
  <c r="E10" i="1" s="1"/>
  <c r="I4" i="1" l="1"/>
  <c r="D10" i="1"/>
  <c r="I10" i="1" s="1"/>
  <c r="F10" i="1"/>
  <c r="J4" i="1"/>
  <c r="H5" i="1"/>
  <c r="J5" i="1"/>
  <c r="C10" i="1"/>
  <c r="H10" i="1" l="1"/>
  <c r="J10" i="1"/>
</calcChain>
</file>

<file path=xl/sharedStrings.xml><?xml version="1.0" encoding="utf-8"?>
<sst xmlns="http://schemas.openxmlformats.org/spreadsheetml/2006/main" count="81" uniqueCount="58">
  <si>
    <t>SUMMARY OF RESULTS</t>
  </si>
  <si>
    <t xml:space="preserve">Total </t>
  </si>
  <si>
    <t>Refer image</t>
  </si>
  <si>
    <t>Weight</t>
  </si>
  <si>
    <t>Function</t>
  </si>
  <si>
    <t>Results on iOS
(&gt;= iPhone 6s - iOS 13 version 10.0)</t>
  </si>
  <si>
    <t>Actual result</t>
  </si>
  <si>
    <t>Error code</t>
  </si>
  <si>
    <t>Comment</t>
  </si>
  <si>
    <t>Results on Android
(&gt;= version 5.0)</t>
  </si>
  <si>
    <t>1st</t>
  </si>
  <si>
    <t>2nd</t>
  </si>
  <si>
    <t>3rd</t>
  </si>
  <si>
    <t>Check icon display interface</t>
  </si>
  <si>
    <t>Check the overall screen interface</t>
  </si>
  <si>
    <t xml:space="preserve"> 1. Check layout, font, spelling, font color</t>
  </si>
  <si>
    <t xml:space="preserve"> 1. Labels, textboxes are not skewed 
- Labels use the same font, font size, left alignment 
- Check all errors in spelling, sentence structure, grammar on the screen 
- Form is properly arranged reasonable and easy to use</t>
  </si>
  <si>
    <t>Textfield [Receiver's phone number]</t>
  </si>
  <si>
    <t>Check default value</t>
  </si>
  <si>
    <t>- Default display owner eMoney phone number and can edit other number.</t>
  </si>
  <si>
    <t>Common Case</t>
  </si>
  <si>
    <t>P</t>
  </si>
  <si>
    <t>F</t>
  </si>
  <si>
    <t>1. Go to home screen of  EU app 
2. Click function "Telecom service" icon
3. Click function " Exchange/Data" icon
4. Check display funtion 1$-8GB</t>
  </si>
  <si>
    <t xml:space="preserve">1$-8GB </t>
  </si>
  <si>
    <t>- Display option Exchange/Data 1$-8GB:
+) Icon "$" Metfone Exchange
+) 1$-8GB 
+) 7 days
- Fields are config in file message link: /u01/ewallet_test/mobilegw_v2_test/etc, file name: metfone-exchange-data.yml</t>
  </si>
  <si>
    <t>1. Open the buy Package "Metfone Exchange" screen
2. Check the item default value [Receiver's phone number]</t>
  </si>
  <si>
    <t>STT</t>
  </si>
  <si>
    <t>Tên màn hình/chức năng</t>
  </si>
  <si>
    <t>Số trường hợp kiểm thử đạt (P)</t>
  </si>
  <si>
    <t>Số trường hợp kiểm thử không đạt (F)</t>
  </si>
  <si>
    <t>Số trường hợp kiểm thử đang xem xét (PE)</t>
  </si>
  <si>
    <t>Số trường hợp kiểm thử chưa thực hiện</t>
  </si>
  <si>
    <t>Tổng số trường hợp kiểm thử</t>
  </si>
  <si>
    <t>Tỉ lệ trường hợp kiểm thử đạt (%P)</t>
  </si>
  <si>
    <t>Tỉ lệ trường hợp kiểm thử không đạt (%F)</t>
  </si>
  <si>
    <t>Tỉ lệ trường hợp kiểm thử đã thực hiện (%Cover)</t>
  </si>
  <si>
    <t>Mã trường hợp kiểm thử</t>
  </si>
  <si>
    <t>Mục đích kiểm thử</t>
  </si>
  <si>
    <t>Các bước thực hiện</t>
  </si>
  <si>
    <t>Kết quả mong muốn</t>
  </si>
  <si>
    <t>Chức năng</t>
  </si>
  <si>
    <t>KỊCH BẢN KIỂM THỬ *</t>
  </si>
  <si>
    <t>Tên màn hình/Tên chức năng</t>
  </si>
  <si>
    <t>Kết quả hiện tại</t>
  </si>
  <si>
    <t>Mã lỗi</t>
  </si>
  <si>
    <t>Ghi chú</t>
  </si>
  <si>
    <t>Tên Function</t>
  </si>
  <si>
    <t>ID_FUNCTION</t>
  </si>
  <si>
    <t>UI</t>
  </si>
  <si>
    <t>Check validate screen information fields</t>
  </si>
  <si>
    <t>Check overall screen interface</t>
  </si>
  <si>
    <t xml:space="preserve">Check the Search partner function successful </t>
  </si>
  <si>
    <t>Title</t>
  </si>
  <si>
    <t>Ví dụ: Check textbox [Partner Name] field</t>
  </si>
  <si>
    <t>Ví dụ:
1. Open the "Add new partner" screen
2. Don't enter textbox [Partner Name]
3. Enter valid fields
4. Click [Save]</t>
  </si>
  <si>
    <t>Ví dụ: ' System notice : "Partner name is required"</t>
  </si>
  <si>
    <t xml:space="preserve"> Ví dụ:
Exchange_Data 1$-8GB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</si>
</sst>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sz val="20"/>
      <color rgb="FF000000"/>
      <name val="Times New Roman"/>
      <family val="1"/>
    </font>
    <font>
      <sz val="11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  <font>
      <sz val="16"/>
      <color rgb="FF000000"/>
      <name val="Times New Roman"/>
      <family val="1"/>
    </font>
    <font>
      <sz val="12"/>
      <name val="Arial"/>
      <family val="2"/>
    </font>
    <font>
      <b/>
      <sz val="13"/>
      <color theme="1"/>
      <name val="Times New Roman"/>
      <family val="1"/>
      <charset val="163"/>
    </font>
    <font>
      <sz val="13"/>
      <name val="Arial"/>
      <family val="2"/>
      <charset val="163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1"/>
      <color rgb="FF0061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00CCFF"/>
        <bgColor indexed="64"/>
      </patternFill>
    </fill>
    <fill>
      <patternFill patternType="solid">
        <fgColor rgb="FFC6EFCE"/>
        <bgColor rgb="FFC6EFCE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0" fillId="0" borderId="4"/>
    <xf numFmtId="0" fontId="21" fillId="0" borderId="4"/>
  </cellStyleXfs>
  <cellXfs count="121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4" borderId="5" xfId="0" applyFont="1" applyFill="1" applyBorder="1"/>
    <xf numFmtId="0" fontId="3" fillId="4" borderId="5" xfId="0" applyFont="1" applyFill="1" applyBorder="1" applyAlignment="1">
      <alignment horizontal="center"/>
    </xf>
    <xf numFmtId="9" fontId="3" fillId="4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9" fontId="6" fillId="4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top" wrapText="1"/>
    </xf>
    <xf numFmtId="0" fontId="7" fillId="2" borderId="4" xfId="0" applyFont="1" applyFill="1" applyBorder="1"/>
    <xf numFmtId="0" fontId="7" fillId="2" borderId="0" xfId="0" applyFont="1" applyFill="1"/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0" fillId="0" borderId="4" xfId="0" applyBorder="1"/>
    <xf numFmtId="0" fontId="0" fillId="0" borderId="0" xfId="0" applyAlignment="1">
      <alignment horizontal="center" vertical="center"/>
    </xf>
    <xf numFmtId="0" fontId="14" fillId="2" borderId="4" xfId="0" applyFont="1" applyFill="1" applyBorder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14" fillId="0" borderId="0" xfId="0" applyFont="1"/>
    <xf numFmtId="0" fontId="12" fillId="3" borderId="18" xfId="0" applyFont="1" applyFill="1" applyBorder="1" applyAlignment="1">
      <alignment horizontal="center" vertical="center"/>
    </xf>
    <xf numFmtId="0" fontId="15" fillId="2" borderId="4" xfId="0" applyFont="1" applyFill="1" applyBorder="1"/>
    <xf numFmtId="0" fontId="15" fillId="2" borderId="0" xfId="0" applyFont="1" applyFill="1"/>
    <xf numFmtId="0" fontId="14" fillId="2" borderId="21" xfId="0" applyFont="1" applyFill="1" applyBorder="1" applyAlignment="1">
      <alignment horizontal="left" vertical="top" wrapText="1"/>
    </xf>
    <xf numFmtId="0" fontId="14" fillId="2" borderId="22" xfId="0" applyFont="1" applyFill="1" applyBorder="1"/>
    <xf numFmtId="0" fontId="14" fillId="2" borderId="22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/>
    </xf>
    <xf numFmtId="0" fontId="16" fillId="2" borderId="22" xfId="0" applyFont="1" applyFill="1" applyBorder="1"/>
    <xf numFmtId="0" fontId="14" fillId="0" borderId="22" xfId="0" quotePrefix="1" applyFont="1" applyBorder="1" applyAlignment="1">
      <alignment vertical="top" wrapText="1"/>
    </xf>
    <xf numFmtId="0" fontId="14" fillId="2" borderId="4" xfId="0" applyFont="1" applyFill="1" applyBorder="1"/>
    <xf numFmtId="0" fontId="14" fillId="2" borderId="0" xfId="0" applyFont="1" applyFill="1"/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/>
    <xf numFmtId="0" fontId="8" fillId="2" borderId="5" xfId="0" applyFont="1" applyFill="1" applyBorder="1" applyAlignment="1">
      <alignment vertical="center" wrapText="1"/>
    </xf>
    <xf numFmtId="0" fontId="17" fillId="4" borderId="5" xfId="0" applyFont="1" applyFill="1" applyBorder="1" applyAlignment="1">
      <alignment horizontal="center" vertical="top"/>
    </xf>
    <xf numFmtId="0" fontId="17" fillId="4" borderId="10" xfId="0" applyFont="1" applyFill="1" applyBorder="1" applyAlignment="1">
      <alignment horizontal="center" vertical="top"/>
    </xf>
    <xf numFmtId="0" fontId="11" fillId="5" borderId="19" xfId="0" applyFont="1" applyFill="1" applyBorder="1" applyAlignment="1">
      <alignment vertical="center"/>
    </xf>
    <xf numFmtId="0" fontId="11" fillId="5" borderId="19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vertical="center" wrapText="1"/>
    </xf>
    <xf numFmtId="0" fontId="14" fillId="6" borderId="22" xfId="0" applyFont="1" applyFill="1" applyBorder="1" applyAlignment="1">
      <alignment vertical="top" wrapText="1"/>
    </xf>
    <xf numFmtId="0" fontId="14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2" borderId="6" xfId="0" applyFont="1" applyFill="1" applyBorder="1"/>
    <xf numFmtId="0" fontId="14" fillId="2" borderId="9" xfId="0" applyFont="1" applyFill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2" borderId="20" xfId="0" applyFont="1" applyFill="1" applyBorder="1"/>
    <xf numFmtId="0" fontId="16" fillId="2" borderId="20" xfId="0" applyFont="1" applyFill="1" applyBorder="1"/>
    <xf numFmtId="0" fontId="11" fillId="7" borderId="24" xfId="0" applyFont="1" applyFill="1" applyBorder="1" applyAlignment="1">
      <alignment vertical="top"/>
    </xf>
    <xf numFmtId="0" fontId="11" fillId="7" borderId="24" xfId="0" applyFont="1" applyFill="1" applyBorder="1" applyAlignment="1">
      <alignment vertical="top" wrapText="1"/>
    </xf>
    <xf numFmtId="0" fontId="11" fillId="7" borderId="19" xfId="0" applyFont="1" applyFill="1" applyBorder="1" applyAlignment="1">
      <alignment vertical="top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vertical="top" wrapText="1"/>
    </xf>
    <xf numFmtId="0" fontId="14" fillId="2" borderId="16" xfId="0" applyFont="1" applyFill="1" applyBorder="1" applyAlignment="1">
      <alignment horizontal="left" vertical="top" wrapText="1"/>
    </xf>
    <xf numFmtId="0" fontId="14" fillId="2" borderId="5" xfId="0" quotePrefix="1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14" fillId="2" borderId="2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/>
    </xf>
    <xf numFmtId="0" fontId="8" fillId="2" borderId="4" xfId="0" applyFont="1" applyFill="1" applyBorder="1" applyAlignment="1">
      <alignment horizontal="center" vertical="top"/>
    </xf>
    <xf numFmtId="0" fontId="11" fillId="5" borderId="19" xfId="0" applyFont="1" applyFill="1" applyBorder="1" applyAlignment="1">
      <alignment horizontal="center" vertical="top"/>
    </xf>
    <xf numFmtId="0" fontId="16" fillId="2" borderId="6" xfId="0" applyFont="1" applyFill="1" applyBorder="1" applyAlignment="1">
      <alignment vertical="top"/>
    </xf>
    <xf numFmtId="0" fontId="14" fillId="2" borderId="2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0" fillId="0" borderId="0" xfId="0" applyAlignment="1">
      <alignment vertical="top"/>
    </xf>
    <xf numFmtId="0" fontId="6" fillId="8" borderId="26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24" fillId="0" borderId="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26" fillId="9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22" fillId="4" borderId="15" xfId="0" applyFont="1" applyFill="1" applyBorder="1"/>
    <xf numFmtId="0" fontId="24" fillId="0" borderId="5" xfId="0" applyFont="1" applyBorder="1" applyAlignment="1">
      <alignment vertical="top" wrapText="1"/>
    </xf>
    <xf numFmtId="0" fontId="24" fillId="0" borderId="5" xfId="0" quotePrefix="1" applyFont="1" applyBorder="1" applyAlignment="1">
      <alignment vertical="top" wrapText="1"/>
    </xf>
    <xf numFmtId="0" fontId="22" fillId="2" borderId="14" xfId="0" applyFont="1" applyFill="1" applyBorder="1"/>
    <xf numFmtId="0" fontId="22" fillId="2" borderId="4" xfId="0" applyFont="1" applyFill="1" applyBorder="1"/>
    <xf numFmtId="0" fontId="22" fillId="2" borderId="0" xfId="0" applyFont="1" applyFill="1"/>
    <xf numFmtId="0" fontId="14" fillId="6" borderId="28" xfId="0" applyFont="1" applyFill="1" applyBorder="1" applyAlignment="1">
      <alignment vertical="top" wrapText="1"/>
    </xf>
    <xf numFmtId="0" fontId="24" fillId="0" borderId="5" xfId="0" quotePrefix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4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5" fillId="3" borderId="11" xfId="0" applyFont="1" applyFill="1" applyBorder="1" applyAlignment="1">
      <alignment horizontal="center" vertical="center" wrapText="1"/>
    </xf>
    <xf numFmtId="0" fontId="18" fillId="0" borderId="27" xfId="0" applyFont="1" applyBorder="1"/>
    <xf numFmtId="0" fontId="12" fillId="3" borderId="1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23" fillId="4" borderId="8" xfId="0" applyFont="1" applyFill="1" applyBorder="1" applyAlignment="1">
      <alignment horizontal="left" vertical="top" wrapText="1"/>
    </xf>
    <xf numFmtId="0" fontId="25" fillId="0" borderId="14" xfId="0" applyFont="1" applyBorder="1"/>
    <xf numFmtId="0" fontId="25" fillId="0" borderId="9" xfId="0" applyFont="1" applyBorder="1"/>
    <xf numFmtId="0" fontId="11" fillId="5" borderId="29" xfId="0" applyFont="1" applyFill="1" applyBorder="1" applyAlignment="1">
      <alignment horizontal="left" vertical="center" wrapText="1"/>
    </xf>
    <xf numFmtId="0" fontId="11" fillId="5" borderId="19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0" borderId="4" xfId="0" applyFont="1" applyBorder="1"/>
    <xf numFmtId="0" fontId="18" fillId="0" borderId="15" xfId="0" applyFont="1" applyBorder="1"/>
    <xf numFmtId="0" fontId="18" fillId="0" borderId="27" xfId="0" applyFont="1" applyBorder="1" applyAlignment="1">
      <alignment wrapText="1"/>
    </xf>
    <xf numFmtId="0" fontId="11" fillId="5" borderId="14" xfId="0" applyFont="1" applyFill="1" applyBorder="1" applyAlignment="1">
      <alignment horizontal="left" vertical="center" wrapText="1"/>
    </xf>
    <xf numFmtId="0" fontId="13" fillId="0" borderId="14" xfId="0" applyFont="1" applyBorder="1"/>
    <xf numFmtId="0" fontId="11" fillId="3" borderId="11" xfId="0" applyFont="1" applyFill="1" applyBorder="1" applyAlignment="1">
      <alignment horizontal="center" vertical="center" wrapText="1"/>
    </xf>
    <xf numFmtId="0" fontId="13" fillId="0" borderId="16" xfId="0" applyFont="1" applyBorder="1"/>
    <xf numFmtId="0" fontId="11" fillId="3" borderId="12" xfId="0" applyFont="1" applyFill="1" applyBorder="1" applyAlignment="1">
      <alignment horizontal="center" vertical="center" wrapText="1"/>
    </xf>
    <xf numFmtId="0" fontId="13" fillId="0" borderId="17" xfId="0" applyFont="1" applyBorder="1"/>
  </cellXfs>
  <cellStyles count="3">
    <cellStyle name="Normal" xfId="0" builtinId="0"/>
    <cellStyle name="Normal 2 2 3" xfId="1" xr:uid="{6E8CADB6-F0A9-42D3-B3D6-F9993D7D125F}"/>
    <cellStyle name="Normal 7" xfId="2" xr:uid="{AA9C757D-68C7-4E2E-9A4E-7D4F6B01D413}"/>
  </cellStyles>
  <dxfs count="36"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0.33203125" customWidth="1"/>
    <col min="2" max="2" width="52.6640625" customWidth="1"/>
    <col min="3" max="3" width="17.33203125" customWidth="1"/>
    <col min="4" max="4" width="20" customWidth="1"/>
    <col min="5" max="6" width="22.5546875" customWidth="1"/>
    <col min="7" max="7" width="17.5546875" customWidth="1"/>
    <col min="8" max="8" width="20.88671875" customWidth="1"/>
    <col min="9" max="9" width="21" customWidth="1"/>
    <col min="10" max="10" width="23.44140625" customWidth="1"/>
    <col min="11" max="26" width="10.33203125" customWidth="1"/>
  </cols>
  <sheetData>
    <row r="1" spans="1:26" ht="39.75" customHeight="1" x14ac:dyDescent="0.4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2" customHeight="1" x14ac:dyDescent="0.3">
      <c r="A3" s="73" t="s">
        <v>27</v>
      </c>
      <c r="B3" s="74" t="s">
        <v>28</v>
      </c>
      <c r="C3" s="74" t="s">
        <v>29</v>
      </c>
      <c r="D3" s="74" t="s">
        <v>30</v>
      </c>
      <c r="E3" s="74" t="s">
        <v>31</v>
      </c>
      <c r="F3" s="74" t="s">
        <v>32</v>
      </c>
      <c r="G3" s="74" t="s">
        <v>33</v>
      </c>
      <c r="H3" s="74" t="s">
        <v>34</v>
      </c>
      <c r="I3" s="74" t="s">
        <v>35</v>
      </c>
      <c r="J3" s="74" t="s">
        <v>36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3">
        <v>1</v>
      </c>
      <c r="B4" s="4" t="str">
        <f>Function_1!D2</f>
        <v>Tên Function</v>
      </c>
      <c r="C4" s="5">
        <f>Function_1!D4</f>
        <v>3</v>
      </c>
      <c r="D4" s="5">
        <f>Function_1!D5</f>
        <v>3</v>
      </c>
      <c r="E4" s="5">
        <f>Function_1!D6</f>
        <v>0</v>
      </c>
      <c r="F4" s="5">
        <f>Function_1!D7</f>
        <v>0</v>
      </c>
      <c r="G4" s="5">
        <f>Function_1!D8</f>
        <v>4</v>
      </c>
      <c r="H4" s="6">
        <f>C4/G4</f>
        <v>0.75</v>
      </c>
      <c r="I4" s="6">
        <f>D4/G4</f>
        <v>0.75</v>
      </c>
      <c r="J4" s="6">
        <f>(C4+D4)/G4</f>
        <v>1.5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3">
        <v>2</v>
      </c>
      <c r="B5" s="4" t="e">
        <f>#REF!</f>
        <v>#REF!</v>
      </c>
      <c r="C5" s="5" t="e">
        <f>#REF!</f>
        <v>#REF!</v>
      </c>
      <c r="D5" s="5" t="e">
        <f>#REF!</f>
        <v>#REF!</v>
      </c>
      <c r="E5" s="5" t="e">
        <f>#REF!</f>
        <v>#REF!</v>
      </c>
      <c r="F5" s="5" t="e">
        <f>#REF!</f>
        <v>#REF!</v>
      </c>
      <c r="G5" s="5" t="e">
        <f>#REF!</f>
        <v>#REF!</v>
      </c>
      <c r="H5" s="6" t="e">
        <f>C5/G5</f>
        <v>#REF!</v>
      </c>
      <c r="I5" s="6" t="e">
        <f>D5/G5</f>
        <v>#REF!</v>
      </c>
      <c r="J5" s="6" t="e">
        <f>(C5+D5)/G5</f>
        <v>#REF!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3">
        <v>3</v>
      </c>
      <c r="B6" s="4" t="e">
        <f>#REF!</f>
        <v>#REF!</v>
      </c>
      <c r="C6" s="5" t="e">
        <f>#REF!</f>
        <v>#REF!</v>
      </c>
      <c r="D6" s="5" t="e">
        <f>#REF!</f>
        <v>#REF!</v>
      </c>
      <c r="E6" s="5" t="e">
        <f>#REF!</f>
        <v>#REF!</v>
      </c>
      <c r="F6" s="5" t="e">
        <f>#REF!</f>
        <v>#REF!</v>
      </c>
      <c r="G6" s="5" t="e">
        <f>#REF!</f>
        <v>#REF!</v>
      </c>
      <c r="H6" s="6" t="e">
        <f>C6/G6</f>
        <v>#REF!</v>
      </c>
      <c r="I6" s="6" t="e">
        <f>D6/G6</f>
        <v>#REF!</v>
      </c>
      <c r="J6" s="6" t="e">
        <f>(C6+D6)/G6</f>
        <v>#REF!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3">
        <v>4</v>
      </c>
      <c r="B7" s="4" t="e">
        <f>#REF!</f>
        <v>#REF!</v>
      </c>
      <c r="C7" s="5" t="e">
        <f>#REF!</f>
        <v>#REF!</v>
      </c>
      <c r="D7" s="5" t="e">
        <f>#REF!</f>
        <v>#REF!</v>
      </c>
      <c r="E7" s="5" t="e">
        <f>#REF!</f>
        <v>#REF!</v>
      </c>
      <c r="F7" s="5" t="e">
        <f>#REF!</f>
        <v>#REF!</v>
      </c>
      <c r="G7" s="5" t="e">
        <f>#REF!</f>
        <v>#REF!</v>
      </c>
      <c r="H7" s="6" t="e">
        <f>C7/G7</f>
        <v>#REF!</v>
      </c>
      <c r="I7" s="6" t="e">
        <f>D7/G7</f>
        <v>#REF!</v>
      </c>
      <c r="J7" s="6" t="e">
        <f>(C7+D7)/G7</f>
        <v>#REF!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3"/>
      <c r="B8" s="4"/>
      <c r="C8" s="5"/>
      <c r="D8" s="5"/>
      <c r="E8" s="5"/>
      <c r="F8" s="5"/>
      <c r="G8" s="5"/>
      <c r="H8" s="6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3"/>
      <c r="B9" s="4"/>
      <c r="C9" s="5"/>
      <c r="D9" s="5"/>
      <c r="E9" s="5"/>
      <c r="F9" s="5"/>
      <c r="G9" s="5"/>
      <c r="H9" s="6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95" t="s">
        <v>1</v>
      </c>
      <c r="B10" s="96"/>
      <c r="C10" s="7" t="e">
        <f>SUM(C4:C8)</f>
        <v>#REF!</v>
      </c>
      <c r="D10" s="7">
        <f>SUM(D4)</f>
        <v>3</v>
      </c>
      <c r="E10" s="7">
        <f>SUM(E4)</f>
        <v>0</v>
      </c>
      <c r="F10" s="7" t="e">
        <f>SUM(F4,F5,F8)</f>
        <v>#REF!</v>
      </c>
      <c r="G10" s="7" t="e">
        <f>SUM(G4:G8)</f>
        <v>#REF!</v>
      </c>
      <c r="H10" s="8" t="e">
        <f>C10/G10</f>
        <v>#REF!</v>
      </c>
      <c r="I10" s="8" t="e">
        <f>D10/G10</f>
        <v>#REF!</v>
      </c>
      <c r="J10" s="8" t="e">
        <f>(C10+D10)/G10</f>
        <v>#REF!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"/>
      <c r="B21" s="1"/>
      <c r="C21" s="2"/>
      <c r="D21" s="2"/>
      <c r="E21" s="2"/>
      <c r="F21" s="2"/>
      <c r="G21" s="2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"/>
      <c r="B22" s="1"/>
      <c r="C22" s="2"/>
      <c r="D22" s="2"/>
      <c r="E22" s="2"/>
      <c r="F22" s="2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"/>
      <c r="B23" s="1"/>
      <c r="C23" s="2"/>
      <c r="D23" s="2"/>
      <c r="E23" s="2"/>
      <c r="F23" s="2"/>
      <c r="G23" s="2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A24" s="1"/>
      <c r="B24" s="1"/>
      <c r="C24" s="2"/>
      <c r="D24" s="2"/>
      <c r="E24" s="2"/>
      <c r="F24" s="2"/>
      <c r="G24" s="2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A25" s="1"/>
      <c r="B25" s="1"/>
      <c r="C25" s="2"/>
      <c r="D25" s="2"/>
      <c r="E25" s="2"/>
      <c r="F25" s="2"/>
      <c r="G25" s="2"/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A27" s="1"/>
      <c r="B27" s="1"/>
      <c r="C27" s="2"/>
      <c r="D27" s="2"/>
      <c r="E27" s="2"/>
      <c r="F27" s="2"/>
      <c r="G27" s="2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A28" s="1"/>
      <c r="B28" s="1"/>
      <c r="C28" s="2"/>
      <c r="D28" s="2"/>
      <c r="E28" s="2"/>
      <c r="F28" s="2"/>
      <c r="G28" s="2"/>
      <c r="H28" s="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A29" s="1"/>
      <c r="B29" s="1"/>
      <c r="C29" s="2"/>
      <c r="D29" s="2"/>
      <c r="E29" s="2"/>
      <c r="F29" s="2"/>
      <c r="G29" s="2"/>
      <c r="H29" s="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A30" s="1"/>
      <c r="B30" s="1"/>
      <c r="C30" s="2"/>
      <c r="D30" s="2"/>
      <c r="E30" s="2"/>
      <c r="F30" s="2"/>
      <c r="G30" s="2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A31" s="1"/>
      <c r="B31" s="1"/>
      <c r="C31" s="2"/>
      <c r="D31" s="2"/>
      <c r="E31" s="2"/>
      <c r="F31" s="2"/>
      <c r="G31" s="2"/>
      <c r="H31" s="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A32" s="1"/>
      <c r="B32" s="1"/>
      <c r="C32" s="2"/>
      <c r="D32" s="2"/>
      <c r="E32" s="2"/>
      <c r="F32" s="2"/>
      <c r="G32" s="2"/>
      <c r="H32" s="2"/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A33" s="1"/>
      <c r="B33" s="1"/>
      <c r="C33" s="2"/>
      <c r="D33" s="2"/>
      <c r="E33" s="2"/>
      <c r="F33" s="2"/>
      <c r="G33" s="2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A34" s="1"/>
      <c r="B34" s="1"/>
      <c r="C34" s="2"/>
      <c r="D34" s="2"/>
      <c r="E34" s="2"/>
      <c r="F34" s="2"/>
      <c r="G34" s="2"/>
      <c r="H34" s="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"/>
      <c r="B35" s="1"/>
      <c r="C35" s="2"/>
      <c r="D35" s="2"/>
      <c r="E35" s="2"/>
      <c r="F35" s="2"/>
      <c r="G35" s="2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"/>
      <c r="B36" s="1"/>
      <c r="C36" s="2"/>
      <c r="D36" s="2"/>
      <c r="E36" s="2"/>
      <c r="F36" s="2"/>
      <c r="G36" s="2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"/>
      <c r="B37" s="1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"/>
      <c r="B38" s="1"/>
      <c r="C38" s="2"/>
      <c r="D38" s="2"/>
      <c r="E38" s="2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"/>
      <c r="B39" s="1"/>
      <c r="C39" s="2"/>
      <c r="D39" s="2"/>
      <c r="E39" s="2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"/>
      <c r="B40" s="1"/>
      <c r="C40" s="2"/>
      <c r="D40" s="2"/>
      <c r="E40" s="2"/>
      <c r="F40" s="2"/>
      <c r="G40" s="2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"/>
      <c r="B41" s="1"/>
      <c r="C41" s="2"/>
      <c r="D41" s="2"/>
      <c r="E41" s="2"/>
      <c r="F41" s="2"/>
      <c r="G41" s="2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"/>
      <c r="B42" s="1"/>
      <c r="C42" s="2"/>
      <c r="D42" s="2"/>
      <c r="E42" s="2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"/>
      <c r="B43" s="1"/>
      <c r="C43" s="2"/>
      <c r="D43" s="2"/>
      <c r="E43" s="2"/>
      <c r="F43" s="2"/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"/>
      <c r="B44" s="1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"/>
      <c r="B45" s="1"/>
      <c r="C45" s="2"/>
      <c r="D45" s="2"/>
      <c r="E45" s="2"/>
      <c r="F45" s="2"/>
      <c r="G45" s="2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"/>
      <c r="B46" s="1"/>
      <c r="C46" s="2"/>
      <c r="D46" s="2"/>
      <c r="E46" s="2"/>
      <c r="F46" s="2"/>
      <c r="G46" s="2"/>
      <c r="H46" s="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"/>
      <c r="B47" s="1"/>
      <c r="C47" s="2"/>
      <c r="D47" s="2"/>
      <c r="E47" s="2"/>
      <c r="F47" s="2"/>
      <c r="G47" s="2"/>
      <c r="H47" s="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"/>
      <c r="B48" s="1"/>
      <c r="C48" s="2"/>
      <c r="D48" s="2"/>
      <c r="E48" s="2"/>
      <c r="F48" s="2"/>
      <c r="G48" s="2"/>
      <c r="H48" s="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"/>
      <c r="B49" s="1"/>
      <c r="C49" s="2"/>
      <c r="D49" s="2"/>
      <c r="E49" s="2"/>
      <c r="F49" s="2"/>
      <c r="G49" s="2"/>
      <c r="H49" s="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"/>
      <c r="B50" s="1"/>
      <c r="C50" s="2"/>
      <c r="D50" s="2"/>
      <c r="E50" s="2"/>
      <c r="F50" s="2"/>
      <c r="G50" s="2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"/>
      <c r="B51" s="1"/>
      <c r="C51" s="2"/>
      <c r="D51" s="2"/>
      <c r="E51" s="2"/>
      <c r="F51" s="2"/>
      <c r="G51" s="2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4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4" x14ac:dyDescent="0.3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4" x14ac:dyDescent="0.3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">
    <mergeCell ref="A1:J1"/>
    <mergeCell ref="A10:B1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83"/>
  <sheetViews>
    <sheetView tabSelected="1" zoomScale="68" zoomScaleNormal="68" workbookViewId="0">
      <pane ySplit="11" topLeftCell="A21" activePane="bottomLeft" state="frozen"/>
      <selection pane="bottomLeft" activeCell="B27" sqref="B27:S27"/>
    </sheetView>
  </sheetViews>
  <sheetFormatPr defaultColWidth="14.44140625" defaultRowHeight="14.4" outlineLevelRow="1" x14ac:dyDescent="0.3"/>
  <cols>
    <col min="1" max="1" width="22.6640625" style="64" customWidth="1"/>
    <col min="2" max="2" width="46" style="15" customWidth="1"/>
    <col min="3" max="3" width="104.5546875" customWidth="1"/>
    <col min="4" max="4" width="114.6640625" customWidth="1"/>
    <col min="5" max="5" width="54.109375" hidden="1" customWidth="1"/>
    <col min="6" max="6" width="16.88671875" hidden="1" customWidth="1"/>
    <col min="7" max="7" width="17.109375" style="16" customWidth="1"/>
    <col min="8" max="8" width="8" style="16" customWidth="1"/>
    <col min="9" max="9" width="8.5546875" style="16" customWidth="1"/>
    <col min="10" max="10" width="9.6640625" style="16" customWidth="1"/>
    <col min="11" max="11" width="15.5546875" style="16" hidden="1" customWidth="1"/>
    <col min="12" max="12" width="18" style="16" hidden="1" customWidth="1"/>
    <col min="13" max="13" width="8.5546875" style="16" hidden="1" customWidth="1"/>
    <col min="14" max="14" width="9" style="16" customWidth="1"/>
    <col min="15" max="15" width="9.6640625" style="16" customWidth="1"/>
    <col min="16" max="16" width="8.6640625" style="16" customWidth="1"/>
    <col min="17" max="17" width="14.109375" style="16" customWidth="1"/>
    <col min="18" max="18" width="21.5546875" customWidth="1"/>
    <col min="19" max="19" width="51.109375" style="72" customWidth="1"/>
    <col min="20" max="36" width="9.109375" customWidth="1"/>
  </cols>
  <sheetData>
    <row r="1" spans="1:36" s="35" customFormat="1" ht="21" x14ac:dyDescent="0.4">
      <c r="A1" s="61"/>
      <c r="B1" s="14"/>
      <c r="C1" s="111" t="s">
        <v>42</v>
      </c>
      <c r="D1" s="11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3"/>
      <c r="S1" s="66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</row>
    <row r="2" spans="1:36" s="35" customFormat="1" ht="21" x14ac:dyDescent="0.4">
      <c r="A2" s="61"/>
      <c r="B2" s="14"/>
      <c r="C2" s="75" t="s">
        <v>43</v>
      </c>
      <c r="D2" s="36" t="s">
        <v>47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  <c r="S2" s="66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4"/>
    </row>
    <row r="3" spans="1:36" s="35" customFormat="1" ht="21" x14ac:dyDescent="0.4">
      <c r="A3" s="61"/>
      <c r="B3" s="14"/>
      <c r="C3" s="75" t="s">
        <v>37</v>
      </c>
      <c r="D3" s="36" t="s">
        <v>48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  <c r="S3" s="66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4"/>
    </row>
    <row r="4" spans="1:36" s="35" customFormat="1" ht="21" x14ac:dyDescent="0.4">
      <c r="A4" s="61"/>
      <c r="B4" s="14"/>
      <c r="C4" s="75" t="s">
        <v>29</v>
      </c>
      <c r="D4" s="37">
        <f>COUNTIF(Q14:Q477,"P")</f>
        <v>3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67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3"/>
      <c r="AI4" s="33"/>
      <c r="AJ4" s="34"/>
    </row>
    <row r="5" spans="1:36" s="35" customFormat="1" ht="21" x14ac:dyDescent="0.4">
      <c r="A5" s="61"/>
      <c r="B5" s="14"/>
      <c r="C5" s="75" t="s">
        <v>30</v>
      </c>
      <c r="D5" s="38">
        <f>COUNTIF(Q14:Q477,"F")</f>
        <v>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67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3"/>
      <c r="AI5" s="33"/>
      <c r="AJ5" s="34"/>
    </row>
    <row r="6" spans="1:36" s="35" customFormat="1" ht="21" x14ac:dyDescent="0.4">
      <c r="A6" s="61"/>
      <c r="B6" s="14"/>
      <c r="C6" s="75" t="s">
        <v>31</v>
      </c>
      <c r="D6" s="38">
        <f>COUNTIF(Q14:Q477,"PE")</f>
        <v>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6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3"/>
      <c r="AI6" s="33"/>
      <c r="AJ6" s="34"/>
    </row>
    <row r="7" spans="1:36" s="35" customFormat="1" ht="21" x14ac:dyDescent="0.4">
      <c r="A7" s="61"/>
      <c r="B7" s="14"/>
      <c r="C7" s="75" t="s">
        <v>32</v>
      </c>
      <c r="D7" s="38">
        <v>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67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3"/>
      <c r="AI7" s="33"/>
      <c r="AJ7" s="34"/>
    </row>
    <row r="8" spans="1:36" s="35" customFormat="1" ht="21" x14ac:dyDescent="0.4">
      <c r="A8" s="61"/>
      <c r="B8" s="14"/>
      <c r="C8" s="75" t="s">
        <v>33</v>
      </c>
      <c r="D8" s="38">
        <f>COUNTA($D$14:$D$477)</f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67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3"/>
      <c r="AI8" s="33"/>
      <c r="AJ8" s="34"/>
    </row>
    <row r="9" spans="1:36" s="35" customFormat="1" ht="21" x14ac:dyDescent="0.4">
      <c r="A9" s="61"/>
      <c r="B9" s="14"/>
      <c r="C9" s="60"/>
      <c r="D9" s="60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3"/>
      <c r="S9" s="66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4"/>
    </row>
    <row r="10" spans="1:36" s="19" customFormat="1" ht="18" x14ac:dyDescent="0.35">
      <c r="A10" s="97" t="s">
        <v>37</v>
      </c>
      <c r="B10" s="97" t="s">
        <v>38</v>
      </c>
      <c r="C10" s="97" t="s">
        <v>39</v>
      </c>
      <c r="D10" s="97" t="s">
        <v>40</v>
      </c>
      <c r="E10" s="117" t="s">
        <v>2</v>
      </c>
      <c r="F10" s="119" t="s">
        <v>3</v>
      </c>
      <c r="G10" s="99" t="s">
        <v>41</v>
      </c>
      <c r="H10" s="101" t="s">
        <v>5</v>
      </c>
      <c r="I10" s="102"/>
      <c r="J10" s="103"/>
      <c r="K10" s="99" t="s">
        <v>6</v>
      </c>
      <c r="L10" s="99" t="s">
        <v>7</v>
      </c>
      <c r="M10" s="99" t="s">
        <v>8</v>
      </c>
      <c r="N10" s="101" t="s">
        <v>9</v>
      </c>
      <c r="O10" s="102"/>
      <c r="P10" s="104"/>
      <c r="Q10" s="97" t="s">
        <v>44</v>
      </c>
      <c r="R10" s="97" t="s">
        <v>45</v>
      </c>
      <c r="S10" s="97" t="s">
        <v>46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8"/>
    </row>
    <row r="11" spans="1:36" s="19" customFormat="1" ht="18" x14ac:dyDescent="0.35">
      <c r="A11" s="113"/>
      <c r="B11" s="114"/>
      <c r="C11" s="98"/>
      <c r="D11" s="98"/>
      <c r="E11" s="118"/>
      <c r="F11" s="120"/>
      <c r="G11" s="100"/>
      <c r="H11" s="20" t="s">
        <v>10</v>
      </c>
      <c r="I11" s="20" t="s">
        <v>11</v>
      </c>
      <c r="J11" s="20" t="s">
        <v>12</v>
      </c>
      <c r="K11" s="100"/>
      <c r="L11" s="100"/>
      <c r="M11" s="100"/>
      <c r="N11" s="20" t="s">
        <v>10</v>
      </c>
      <c r="O11" s="20" t="s">
        <v>11</v>
      </c>
      <c r="P11" s="20" t="s">
        <v>12</v>
      </c>
      <c r="Q11" s="105"/>
      <c r="R11" s="98"/>
      <c r="S11" s="98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/>
    </row>
    <row r="12" spans="1:36" s="19" customFormat="1" ht="28.5" customHeight="1" x14ac:dyDescent="0.35">
      <c r="A12" s="63" t="str">
        <f>IF(AND(D12="",D12=""),"",$D$3&amp;"_"&amp;ROW()-11-COUNTBLANK($D$11:D12))</f>
        <v/>
      </c>
      <c r="B12" s="115" t="s">
        <v>49</v>
      </c>
      <c r="C12" s="116"/>
      <c r="D12" s="39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68"/>
      <c r="T12" s="17"/>
      <c r="U12" s="17"/>
      <c r="V12" s="17"/>
      <c r="W12" s="17"/>
      <c r="X12" s="17"/>
      <c r="Y12" s="17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1"/>
    </row>
    <row r="13" spans="1:36" ht="15.6" x14ac:dyDescent="0.3">
      <c r="A13" s="76"/>
      <c r="B13" s="106" t="s">
        <v>51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8"/>
      <c r="T13" s="77"/>
      <c r="U13" s="77"/>
      <c r="V13" s="77"/>
      <c r="W13" s="77"/>
      <c r="X13" s="77"/>
      <c r="Y13" s="77"/>
      <c r="Z13" s="77"/>
    </row>
    <row r="14" spans="1:36" s="19" customFormat="1" ht="96.75" customHeight="1" outlineLevel="1" x14ac:dyDescent="0.35">
      <c r="A14" s="63" t="str">
        <f>IF(AND(D14="",D14=""),"",$D$3&amp;"_"&amp;ROW()-11-COUNTBLANK($D$12:D14))</f>
        <v>ID_FUNCTION_1</v>
      </c>
      <c r="B14" s="41" t="s">
        <v>13</v>
      </c>
      <c r="C14" s="42" t="s">
        <v>23</v>
      </c>
      <c r="D14" s="29" t="s">
        <v>25</v>
      </c>
      <c r="E14" s="43"/>
      <c r="F14" s="43"/>
      <c r="G14" s="43" t="s">
        <v>24</v>
      </c>
      <c r="H14" s="44" t="s">
        <v>21</v>
      </c>
      <c r="I14" s="45"/>
      <c r="J14" s="45"/>
      <c r="K14" s="45"/>
      <c r="L14" s="45"/>
      <c r="M14" s="45"/>
      <c r="N14" s="45" t="s">
        <v>21</v>
      </c>
      <c r="O14" s="45"/>
      <c r="P14" s="45"/>
      <c r="Q14" s="46" t="str">
        <f>IF(OR(IF(J14="",IF(I14="",IF(H14="","",H14),I14),J14)="F",IF(M14="",IF(L14="",IF(K14="","",K14),L14),M14)="F",IF(P14="",IF(O14="",IF(N14="","",N14),O14),P14)="F")=TRUE,"F",IF(OR(IF(J14="",IF(I14="",IF(H14="","",H14),I14),J14)="PE",IF(M14="",IF(L14="",IF(K14="","",K14),L14),M14)="PE",IF(P14="",IF(O14="",IF(N14="","",N14),O14),P14)="PE")=TRUE,"PE",IF(AND(IF(J14="",IF(I14="",IF(H14="","",H14),I14),J14)="",IF(M14="",IF(L14="",IF(K14="","",K14),L14),M14)="",IF(P14="",IF(O14="",IF(N14="","",N14),O14),P14)="")=TRUE,"","P")))</f>
        <v>P</v>
      </c>
      <c r="R14" s="47"/>
      <c r="S14" s="69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2"/>
      <c r="AJ14" s="22"/>
    </row>
    <row r="15" spans="1:36" s="19" customFormat="1" ht="72" outlineLevel="1" x14ac:dyDescent="0.35">
      <c r="A15" s="63" t="str">
        <f>IF(AND(D15="",D15=""),"",$D$3&amp;"_"&amp;ROW()-11-COUNTBLANK($D$12:D15))</f>
        <v>ID_FUNCTION_2</v>
      </c>
      <c r="B15" s="49" t="s">
        <v>14</v>
      </c>
      <c r="C15" s="50" t="s">
        <v>15</v>
      </c>
      <c r="D15" s="50" t="s">
        <v>16</v>
      </c>
      <c r="E15" s="51"/>
      <c r="F15" s="51"/>
      <c r="G15" s="43" t="s">
        <v>24</v>
      </c>
      <c r="H15" s="44" t="s">
        <v>21</v>
      </c>
      <c r="I15" s="45"/>
      <c r="J15" s="45"/>
      <c r="K15" s="45"/>
      <c r="L15" s="45"/>
      <c r="M15" s="45"/>
      <c r="N15" s="45" t="s">
        <v>21</v>
      </c>
      <c r="O15" s="45"/>
      <c r="P15" s="45"/>
      <c r="Q15" s="46" t="str">
        <f t="shared" ref="Q15" si="0">IF(OR(IF(J15="",IF(I15="",IF(H15="","",H15),I15),J15)="F",IF(M15="",IF(L15="",IF(K15="","",K15),L15),M15)="F",IF(P15="",IF(O15="",IF(N15="","",N15),O15),P15)="F")=TRUE,"F",IF(OR(IF(J15="",IF(I15="",IF(H15="","",H15),I15),J15)="PE",IF(M15="",IF(L15="",IF(K15="","",K15),L15),M15)="PE",IF(P15="",IF(O15="",IF(N15="","",N15),O15),P15)="PE")=TRUE,"PE",IF(AND(IF(J15="",IF(I15="",IF(H15="","",H15),I15),J15)="",IF(M15="",IF(L15="",IF(K15="","",K15),L15),M15)="",IF(P15="",IF(O15="",IF(N15="","",N15),O15),P15)="")=TRUE,"","P")))</f>
        <v>P</v>
      </c>
      <c r="R15" s="52"/>
      <c r="S15" s="70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2"/>
      <c r="AJ15" s="22"/>
    </row>
    <row r="16" spans="1:36" ht="15.6" x14ac:dyDescent="0.3">
      <c r="A16" s="76" t="str">
        <f t="shared" ref="A16" si="1">IF(AND(D16="",D16=""),"",$D$3&amp;"_"&amp;ROW()-11-COUNTBLANK($D$12:D16))</f>
        <v/>
      </c>
      <c r="B16" s="106" t="s">
        <v>50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8"/>
      <c r="T16" s="77"/>
      <c r="U16" s="77"/>
      <c r="V16" s="77"/>
      <c r="W16" s="77"/>
      <c r="X16" s="77"/>
      <c r="Y16" s="77"/>
      <c r="Z16" s="77"/>
    </row>
    <row r="17" spans="1:36" s="19" customFormat="1" ht="18" outlineLevel="1" x14ac:dyDescent="0.35">
      <c r="A17" s="63" t="str">
        <f>IF(AND(D17="",D17=""),"",$D$3&amp;"_"&amp;ROW()-11-COUNTBLANK($D$12:D17))</f>
        <v/>
      </c>
      <c r="B17" s="53" t="s">
        <v>17</v>
      </c>
      <c r="C17" s="54"/>
      <c r="D17" s="55"/>
      <c r="E17" s="55"/>
      <c r="F17" s="55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5"/>
      <c r="S17" s="57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2"/>
      <c r="AJ17" s="22"/>
    </row>
    <row r="18" spans="1:36" s="19" customFormat="1" ht="36" outlineLevel="1" x14ac:dyDescent="0.35">
      <c r="A18" s="63" t="str">
        <f>IF(AND(D18="",D18=""),"",$D$3&amp;"_"&amp;ROW()-11-COUNTBLANK($D$12:D18))</f>
        <v>ID_FUNCTION_3</v>
      </c>
      <c r="B18" s="48" t="s">
        <v>18</v>
      </c>
      <c r="C18" s="58" t="s">
        <v>26</v>
      </c>
      <c r="D18" s="59" t="s">
        <v>19</v>
      </c>
      <c r="E18" s="43"/>
      <c r="F18" s="43"/>
      <c r="G18" s="43" t="s">
        <v>24</v>
      </c>
      <c r="H18" s="44" t="s">
        <v>21</v>
      </c>
      <c r="I18" s="45"/>
      <c r="J18" s="45"/>
      <c r="K18" s="45"/>
      <c r="L18" s="45"/>
      <c r="M18" s="45"/>
      <c r="N18" s="45" t="s">
        <v>21</v>
      </c>
      <c r="O18" s="45"/>
      <c r="P18" s="45"/>
      <c r="Q18" s="46" t="str">
        <f t="shared" ref="Q18" si="2">IF(OR(IF(J18="",IF(I18="",IF(H18="","",H18),I18),J18)="F",IF(M18="",IF(L18="",IF(K18="","",K18),L18),M18)="F",IF(P18="",IF(O18="",IF(N18="","",N18),O18),P18)="F")=TRUE,"F",IF(OR(IF(J18="",IF(I18="",IF(H18="","",H18),I18),J18)="PE",IF(M18="",IF(L18="",IF(K18="","",K18),L18),M18)="PE",IF(P18="",IF(O18="",IF(N18="","",N18),O18),P18)="PE")=TRUE,"PE",IF(AND(IF(J18="",IF(I18="",IF(H18="","",H18),I18),J18)="",IF(M18="",IF(L18="",IF(K18="","",K18),L18),M18)="",IF(P18="",IF(O18="",IF(N18="","",N18),O18),P18)="")=TRUE,"","P")))</f>
        <v>P</v>
      </c>
      <c r="R18" s="47"/>
      <c r="S18" s="69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2"/>
      <c r="AJ18" s="22"/>
    </row>
    <row r="19" spans="1:36" s="19" customFormat="1" ht="28.5" customHeight="1" x14ac:dyDescent="0.35">
      <c r="A19" s="63" t="str">
        <f>IF(AND(D19="",D19=""),"",$D$3&amp;"_"&amp;ROW()-11-COUNTBLANK($D$11:D19))</f>
        <v/>
      </c>
      <c r="B19" s="115" t="s">
        <v>4</v>
      </c>
      <c r="C19" s="116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68"/>
      <c r="T19" s="17"/>
      <c r="U19" s="17"/>
      <c r="V19" s="17"/>
      <c r="W19" s="17"/>
      <c r="X19" s="17"/>
      <c r="Y19" s="17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1"/>
    </row>
    <row r="20" spans="1:36" ht="15.6" x14ac:dyDescent="0.3">
      <c r="A20" s="76" t="str">
        <f t="shared" ref="A20:A21" si="3">IF(AND(D20="",D20=""),"",$D$3&amp;"_"&amp;ROW()-11-COUNTBLANK($D$12:D20))</f>
        <v/>
      </c>
      <c r="B20" s="106" t="s">
        <v>52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8"/>
      <c r="T20" s="77"/>
      <c r="U20" s="77"/>
      <c r="V20" s="77"/>
      <c r="W20" s="77"/>
      <c r="X20" s="77"/>
      <c r="Y20" s="77"/>
      <c r="Z20" s="77"/>
    </row>
    <row r="21" spans="1:36" ht="15.6" x14ac:dyDescent="0.3">
      <c r="A21" s="76" t="str">
        <f t="shared" si="3"/>
        <v/>
      </c>
      <c r="B21" s="78"/>
      <c r="C21" s="78"/>
      <c r="D21" s="78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81"/>
      <c r="S21" s="82"/>
      <c r="T21" s="77"/>
      <c r="U21" s="77"/>
      <c r="V21" s="77"/>
      <c r="W21" s="77"/>
      <c r="X21" s="77"/>
      <c r="Y21" s="77"/>
      <c r="Z21" s="77"/>
      <c r="AA21" s="83"/>
    </row>
    <row r="22" spans="1:36" ht="15.6" x14ac:dyDescent="0.3">
      <c r="A22" s="76" t="str">
        <f t="shared" ref="A22" si="4">IF(AND(D22="",D22=""),"",$D$3&amp;"_"&amp;ROW()-11-COUNTBLANK($D$12:D22))</f>
        <v/>
      </c>
      <c r="B22" s="106" t="s">
        <v>53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8"/>
      <c r="T22" s="77"/>
      <c r="U22" s="77"/>
      <c r="V22" s="77"/>
      <c r="W22" s="77"/>
      <c r="X22" s="77"/>
      <c r="Y22" s="77"/>
      <c r="Z22" s="77"/>
    </row>
    <row r="23" spans="1:36" ht="78" x14ac:dyDescent="0.35">
      <c r="A23" s="84"/>
      <c r="B23" s="85" t="s">
        <v>54</v>
      </c>
      <c r="C23" s="85" t="s">
        <v>55</v>
      </c>
      <c r="D23" s="86" t="s">
        <v>56</v>
      </c>
      <c r="E23" s="87"/>
      <c r="F23" s="87"/>
      <c r="G23" s="25" t="s">
        <v>57</v>
      </c>
      <c r="H23" s="26" t="s">
        <v>22</v>
      </c>
      <c r="I23" s="26"/>
      <c r="J23" s="26"/>
      <c r="K23" s="26"/>
      <c r="L23" s="26"/>
      <c r="M23" s="26"/>
      <c r="N23" s="26" t="s">
        <v>22</v>
      </c>
      <c r="O23" s="26"/>
      <c r="P23" s="26"/>
      <c r="Q23" s="27" t="str">
        <f t="shared" ref="Q23" si="5">IF(OR(IF(J23="",IF(I23="",IF(H23="","",H23),I23),J23)="F",IF(M23="",IF(L23="",IF(K23="","",K23),L23),M23)="F",IF(P23="",IF(O23="",IF(N23="","",N23),O23),P23)="F")=TRUE,"F",IF(OR(IF(J23="",IF(I23="",IF(H23="","",H23),I23),J23)="PE",IF(M23="",IF(L23="",IF(K23="","",K23),L23),M23)="PE",IF(P23="",IF(O23="",IF(N23="","",N23),O23),P23)="PE")=TRUE,"PE",IF(AND(IF(J23="",IF(I23="",IF(H23="","",H23),I23),J23)="",IF(M23="",IF(L23="",IF(K23="","",K23),L23),M23)="",IF(P23="",IF(O23="",IF(N23="","",N23),O23),P23)="")=TRUE,"","P")))</f>
        <v>F</v>
      </c>
      <c r="R23" s="28"/>
      <c r="S23" s="65"/>
      <c r="T23" s="88"/>
      <c r="U23" s="88"/>
      <c r="V23" s="88"/>
      <c r="W23" s="88"/>
      <c r="X23" s="88"/>
      <c r="Y23" s="88"/>
      <c r="Z23" s="88"/>
      <c r="AA23" s="89"/>
    </row>
    <row r="24" spans="1:36" s="19" customFormat="1" ht="28.5" customHeight="1" x14ac:dyDescent="0.35">
      <c r="A24" s="63" t="str">
        <f>IF(AND(D24="",D24=""),"",$D$3&amp;"_"&amp;ROW()-11-COUNTBLANK($D$12:D24))</f>
        <v/>
      </c>
      <c r="B24" s="109" t="s">
        <v>20</v>
      </c>
      <c r="C24" s="110"/>
      <c r="D24" s="39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68"/>
      <c r="T24" s="17"/>
      <c r="U24" s="17"/>
      <c r="V24" s="17"/>
      <c r="W24" s="17"/>
      <c r="X24" s="17"/>
      <c r="Y24" s="17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</row>
    <row r="25" spans="1:36" ht="15.6" x14ac:dyDescent="0.3">
      <c r="A25" s="76" t="str">
        <f t="shared" ref="A25" si="6">IF(AND(D25="",D25=""),"",$D$3&amp;"_"&amp;ROW()-11-COUNTBLANK($D$12:D25))</f>
        <v/>
      </c>
      <c r="B25" s="106" t="s">
        <v>53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8"/>
      <c r="T25" s="77"/>
      <c r="U25" s="77"/>
      <c r="V25" s="77"/>
      <c r="W25" s="77"/>
      <c r="X25" s="77"/>
      <c r="Y25" s="77"/>
      <c r="Z25" s="77"/>
    </row>
    <row r="26" spans="1:36" ht="18" x14ac:dyDescent="0.35">
      <c r="A26" s="76" t="str">
        <f t="shared" ref="A26:A27" si="7">IF(AND(D26="",D26=""),"",$D$3&amp;"_"&amp;ROW()-11-COUNTBLANK($D$12:D26))</f>
        <v/>
      </c>
      <c r="B26" s="90"/>
      <c r="C26" s="23"/>
      <c r="D26" s="29"/>
      <c r="E26" s="24"/>
      <c r="F26" s="24"/>
      <c r="G26" s="25"/>
      <c r="H26" s="26" t="s">
        <v>22</v>
      </c>
      <c r="I26" s="26"/>
      <c r="J26" s="26"/>
      <c r="K26" s="26"/>
      <c r="L26" s="26"/>
      <c r="M26" s="26"/>
      <c r="N26" s="26" t="s">
        <v>22</v>
      </c>
      <c r="O26" s="26"/>
      <c r="P26" s="26"/>
      <c r="Q26" s="27" t="str">
        <f t="shared" ref="Q26" si="8">IF(OR(IF(J26="",IF(I26="",IF(H26="","",H26),I26),J26)="F",IF(M26="",IF(L26="",IF(K26="","",K26),L26),M26)="F",IF(P26="",IF(O26="",IF(N26="","",N26),O26),P26)="F")=TRUE,"F",IF(OR(IF(J26="",IF(I26="",IF(H26="","",H26),I26),J26)="PE",IF(M26="",IF(L26="",IF(K26="","",K26),L26),M26)="PE",IF(P26="",IF(O26="",IF(N26="","",N26),O26),P26)="PE")=TRUE,"PE",IF(AND(IF(J26="",IF(I26="",IF(H26="","",H26),I26),J26)="",IF(M26="",IF(L26="",IF(K26="","",K26),L26),M26)="",IF(P26="",IF(O26="",IF(N26="","",N26),O26),P26)="")=TRUE,"","P")))</f>
        <v>F</v>
      </c>
      <c r="R26" s="28"/>
      <c r="S26" s="65"/>
      <c r="T26" s="77"/>
      <c r="U26" s="77"/>
      <c r="V26" s="77"/>
      <c r="W26" s="77"/>
      <c r="X26" s="77"/>
      <c r="Y26" s="77"/>
      <c r="Z26" s="77"/>
    </row>
    <row r="27" spans="1:36" ht="15.6" x14ac:dyDescent="0.3">
      <c r="A27" s="76" t="str">
        <f t="shared" si="7"/>
        <v/>
      </c>
      <c r="B27" s="106" t="s">
        <v>53</v>
      </c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8"/>
      <c r="T27" s="77"/>
      <c r="U27" s="77"/>
      <c r="V27" s="77"/>
      <c r="W27" s="77"/>
      <c r="X27" s="77"/>
      <c r="Y27" s="77"/>
      <c r="Z27" s="77"/>
    </row>
    <row r="28" spans="1:36" ht="18" x14ac:dyDescent="0.35">
      <c r="A28" s="76" t="str">
        <f t="shared" ref="A28" si="9">IF(AND(D28="",D28=""),"",$D$3&amp;"_"&amp;ROW()-11-COUNTBLANK($D$12:D28))</f>
        <v/>
      </c>
      <c r="B28" s="90"/>
      <c r="C28" s="78"/>
      <c r="D28" s="91"/>
      <c r="E28" s="24"/>
      <c r="F28" s="24"/>
      <c r="G28" s="25"/>
      <c r="H28" s="26" t="s">
        <v>22</v>
      </c>
      <c r="I28" s="26"/>
      <c r="J28" s="26"/>
      <c r="K28" s="26"/>
      <c r="L28" s="26"/>
      <c r="M28" s="26"/>
      <c r="N28" s="26" t="s">
        <v>22</v>
      </c>
      <c r="O28" s="26"/>
      <c r="P28" s="26"/>
      <c r="Q28" s="27" t="str">
        <f t="shared" ref="Q28" si="10">IF(OR(IF(J28="",IF(I28="",IF(H28="","",H28),I28),J28)="F",IF(M28="",IF(L28="",IF(K28="","",K28),L28),M28)="F",IF(P28="",IF(O28="",IF(N28="","",N28),O28),P28)="F")=TRUE,"F",IF(OR(IF(J28="",IF(I28="",IF(H28="","",H28),I28),J28)="PE",IF(M28="",IF(L28="",IF(K28="","",K28),L28),M28)="PE",IF(P28="",IF(O28="",IF(N28="","",N28),O28),P28)="PE")=TRUE,"PE",IF(AND(IF(J28="",IF(I28="",IF(H28="","",H28),I28),J28)="",IF(M28="",IF(L28="",IF(K28="","",K28),L28),M28)="",IF(P28="",IF(O28="",IF(N28="","",N28),O28),P28)="")=TRUE,"","P")))</f>
        <v>F</v>
      </c>
      <c r="R28" s="28"/>
      <c r="S28" s="65"/>
      <c r="T28" s="77"/>
      <c r="U28" s="77"/>
      <c r="V28" s="77"/>
      <c r="W28" s="77"/>
      <c r="X28" s="77"/>
      <c r="Y28" s="77"/>
      <c r="Z28" s="77"/>
    </row>
    <row r="29" spans="1:36" x14ac:dyDescent="0.3">
      <c r="A29" s="11"/>
      <c r="B29" s="11"/>
      <c r="C29" s="11"/>
      <c r="D29" s="11"/>
      <c r="E29" s="11"/>
      <c r="F29" s="11"/>
      <c r="G29" s="9"/>
      <c r="H29" s="9"/>
      <c r="I29" s="9"/>
      <c r="J29" s="9"/>
      <c r="K29" s="9"/>
      <c r="L29" s="9"/>
      <c r="M29" s="9"/>
      <c r="N29" s="9"/>
      <c r="O29" s="9"/>
      <c r="P29" s="13"/>
      <c r="Q29" s="13"/>
      <c r="R29" s="10"/>
      <c r="S29" s="10"/>
      <c r="T29" s="10"/>
      <c r="U29" s="10"/>
      <c r="V29" s="10"/>
      <c r="W29" s="10"/>
      <c r="X29" s="10"/>
      <c r="Y29" s="10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2"/>
    </row>
    <row r="30" spans="1:36" x14ac:dyDescent="0.3">
      <c r="A30" s="11"/>
      <c r="B30" s="11"/>
      <c r="C30" s="11"/>
      <c r="D30" s="11"/>
      <c r="E30" s="11"/>
      <c r="F30" s="11"/>
      <c r="G30" s="9"/>
      <c r="H30" s="9"/>
      <c r="I30" s="9"/>
      <c r="J30" s="9"/>
      <c r="K30" s="9"/>
      <c r="L30" s="9"/>
      <c r="M30" s="9"/>
      <c r="N30" s="9"/>
      <c r="O30" s="9"/>
      <c r="P30" s="13"/>
      <c r="Q30" s="13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2"/>
    </row>
    <row r="31" spans="1:36" x14ac:dyDescent="0.3">
      <c r="A31" s="11"/>
      <c r="B31" s="11"/>
      <c r="C31" s="11"/>
      <c r="D31" s="11"/>
      <c r="E31" s="11"/>
      <c r="F31" s="11"/>
      <c r="G31" s="9"/>
      <c r="H31" s="9"/>
      <c r="I31" s="9"/>
      <c r="J31" s="9"/>
      <c r="K31" s="9"/>
      <c r="L31" s="9"/>
      <c r="M31" s="9"/>
      <c r="N31" s="9"/>
      <c r="O31" s="9"/>
      <c r="P31" s="13"/>
      <c r="Q31" s="13"/>
      <c r="R31" s="10"/>
      <c r="S31" s="10"/>
      <c r="T31" s="10"/>
      <c r="U31" s="10"/>
      <c r="V31" s="10"/>
      <c r="W31" s="10"/>
      <c r="X31" s="10"/>
      <c r="Y31" s="10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2"/>
    </row>
    <row r="32" spans="1:36" x14ac:dyDescent="0.3">
      <c r="A32" s="11"/>
      <c r="B32" s="11"/>
      <c r="C32" s="11"/>
      <c r="D32" s="11"/>
      <c r="E32" s="11"/>
      <c r="F32" s="11"/>
      <c r="G32" s="9"/>
      <c r="H32" s="9"/>
      <c r="I32" s="9"/>
      <c r="J32" s="9"/>
      <c r="K32" s="9"/>
      <c r="L32" s="9"/>
      <c r="M32" s="9"/>
      <c r="N32" s="9"/>
      <c r="O32" s="9"/>
      <c r="P32" s="13"/>
      <c r="Q32" s="13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2"/>
    </row>
    <row r="33" spans="1:36" x14ac:dyDescent="0.3">
      <c r="A33" s="11"/>
      <c r="B33" s="11"/>
      <c r="C33" s="11"/>
      <c r="D33" s="11"/>
      <c r="E33" s="11"/>
      <c r="F33" s="11"/>
      <c r="G33" s="9"/>
      <c r="H33" s="9"/>
      <c r="I33" s="9"/>
      <c r="J33" s="9"/>
      <c r="K33" s="9"/>
      <c r="L33" s="9"/>
      <c r="M33" s="9"/>
      <c r="N33" s="9"/>
      <c r="O33" s="9"/>
      <c r="P33" s="13"/>
      <c r="Q33" s="13"/>
      <c r="R33" s="10"/>
      <c r="S33" s="10"/>
      <c r="T33" s="10"/>
      <c r="U33" s="10"/>
      <c r="V33" s="10"/>
      <c r="W33" s="10"/>
      <c r="X33" s="10"/>
      <c r="Y33" s="10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2"/>
    </row>
    <row r="34" spans="1:36" x14ac:dyDescent="0.3">
      <c r="A34" s="11"/>
      <c r="B34" s="11"/>
      <c r="C34" s="11"/>
      <c r="D34" s="11"/>
      <c r="E34" s="11"/>
      <c r="F34" s="11"/>
      <c r="G34" s="9"/>
      <c r="H34" s="9"/>
      <c r="I34" s="9"/>
      <c r="J34" s="9"/>
      <c r="K34" s="9"/>
      <c r="L34" s="9"/>
      <c r="M34" s="9"/>
      <c r="N34" s="9"/>
      <c r="O34" s="9"/>
      <c r="P34" s="13"/>
      <c r="Q34" s="13"/>
      <c r="R34" s="10"/>
      <c r="S34" s="10"/>
      <c r="T34" s="10"/>
      <c r="U34" s="10"/>
      <c r="V34" s="10"/>
      <c r="W34" s="10"/>
      <c r="X34" s="10"/>
      <c r="Y34" s="10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2"/>
    </row>
    <row r="35" spans="1:36" x14ac:dyDescent="0.3">
      <c r="A35" s="11"/>
      <c r="B35" s="11"/>
      <c r="C35" s="11"/>
      <c r="D35" s="11"/>
      <c r="E35" s="11"/>
      <c r="F35" s="11"/>
      <c r="G35" s="9"/>
      <c r="H35" s="9"/>
      <c r="I35" s="9"/>
      <c r="J35" s="9"/>
      <c r="K35" s="9"/>
      <c r="L35" s="9"/>
      <c r="M35" s="9"/>
      <c r="N35" s="9"/>
      <c r="O35" s="9"/>
      <c r="P35" s="13"/>
      <c r="Q35" s="13"/>
      <c r="R35" s="10"/>
      <c r="S35" s="10"/>
      <c r="T35" s="10"/>
      <c r="U35" s="10"/>
      <c r="V35" s="10"/>
      <c r="W35" s="10"/>
      <c r="X35" s="10"/>
      <c r="Y35" s="10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2"/>
    </row>
    <row r="36" spans="1:36" x14ac:dyDescent="0.3">
      <c r="A36" s="11"/>
      <c r="B36" s="11"/>
      <c r="C36" s="11"/>
      <c r="D36" s="11"/>
      <c r="E36" s="11"/>
      <c r="F36" s="11"/>
      <c r="G36" s="9"/>
      <c r="H36" s="9"/>
      <c r="I36" s="9"/>
      <c r="J36" s="9"/>
      <c r="K36" s="9"/>
      <c r="L36" s="9"/>
      <c r="M36" s="9"/>
      <c r="N36" s="9"/>
      <c r="O36" s="9"/>
      <c r="P36" s="13"/>
      <c r="Q36" s="13"/>
      <c r="R36" s="10"/>
      <c r="S36" s="10"/>
      <c r="T36" s="10"/>
      <c r="U36" s="10"/>
      <c r="V36" s="10"/>
      <c r="W36" s="10"/>
      <c r="X36" s="10"/>
      <c r="Y36" s="10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2"/>
    </row>
    <row r="37" spans="1:36" x14ac:dyDescent="0.3">
      <c r="A37" s="11"/>
      <c r="B37" s="11"/>
      <c r="C37" s="11"/>
      <c r="D37" s="11"/>
      <c r="E37" s="11"/>
      <c r="F37" s="11"/>
      <c r="G37" s="9"/>
      <c r="H37" s="9"/>
      <c r="I37" s="9"/>
      <c r="J37" s="9"/>
      <c r="K37" s="9"/>
      <c r="L37" s="9"/>
      <c r="M37" s="9"/>
      <c r="N37" s="9"/>
      <c r="O37" s="9"/>
      <c r="P37" s="13"/>
      <c r="Q37" s="13"/>
      <c r="R37" s="10"/>
      <c r="S37" s="10"/>
      <c r="T37" s="10"/>
      <c r="U37" s="10"/>
      <c r="V37" s="10"/>
      <c r="W37" s="10"/>
      <c r="X37" s="10"/>
      <c r="Y37" s="10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2"/>
    </row>
    <row r="38" spans="1:36" x14ac:dyDescent="0.3">
      <c r="A38" s="11"/>
      <c r="B38" s="11"/>
      <c r="C38" s="11"/>
      <c r="D38" s="11"/>
      <c r="E38" s="11"/>
      <c r="F38" s="11"/>
      <c r="G38" s="9"/>
      <c r="H38" s="9"/>
      <c r="I38" s="9"/>
      <c r="J38" s="9"/>
      <c r="K38" s="9"/>
      <c r="L38" s="9"/>
      <c r="M38" s="9"/>
      <c r="N38" s="9"/>
      <c r="O38" s="9"/>
      <c r="P38" s="13"/>
      <c r="Q38" s="13"/>
      <c r="R38" s="10"/>
      <c r="S38" s="10"/>
      <c r="T38" s="10"/>
      <c r="U38" s="10"/>
      <c r="V38" s="10"/>
      <c r="W38" s="10"/>
      <c r="X38" s="10"/>
      <c r="Y38" s="10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2"/>
    </row>
    <row r="39" spans="1:36" x14ac:dyDescent="0.3">
      <c r="A39" s="11"/>
      <c r="B39" s="11"/>
      <c r="C39" s="11"/>
      <c r="D39" s="11"/>
      <c r="E39" s="11"/>
      <c r="F39" s="11"/>
      <c r="G39" s="9"/>
      <c r="H39" s="9"/>
      <c r="I39" s="9"/>
      <c r="J39" s="9"/>
      <c r="K39" s="9"/>
      <c r="L39" s="9"/>
      <c r="M39" s="9"/>
      <c r="N39" s="9"/>
      <c r="O39" s="9"/>
      <c r="P39" s="13"/>
      <c r="Q39" s="13"/>
      <c r="R39" s="10"/>
      <c r="S39" s="10"/>
      <c r="T39" s="10"/>
      <c r="U39" s="10"/>
      <c r="V39" s="10"/>
      <c r="W39" s="10"/>
      <c r="X39" s="10"/>
      <c r="Y39" s="10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2"/>
    </row>
    <row r="40" spans="1:36" x14ac:dyDescent="0.3">
      <c r="A40" s="11"/>
      <c r="B40" s="11"/>
      <c r="C40" s="11"/>
      <c r="D40" s="11"/>
      <c r="E40" s="11"/>
      <c r="F40" s="11"/>
      <c r="G40" s="9"/>
      <c r="H40" s="9"/>
      <c r="I40" s="9"/>
      <c r="J40" s="9"/>
      <c r="K40" s="9"/>
      <c r="L40" s="9"/>
      <c r="M40" s="9"/>
      <c r="N40" s="9"/>
      <c r="O40" s="9"/>
      <c r="P40" s="13"/>
      <c r="Q40" s="13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2"/>
    </row>
    <row r="41" spans="1:36" x14ac:dyDescent="0.3">
      <c r="A41" s="11"/>
      <c r="B41" s="11"/>
      <c r="C41" s="11"/>
      <c r="D41" s="11"/>
      <c r="E41" s="11"/>
      <c r="F41" s="11"/>
      <c r="G41" s="9"/>
      <c r="H41" s="9"/>
      <c r="I41" s="9"/>
      <c r="J41" s="9"/>
      <c r="K41" s="9"/>
      <c r="L41" s="9"/>
      <c r="M41" s="9"/>
      <c r="N41" s="9"/>
      <c r="O41" s="9"/>
      <c r="P41" s="13"/>
      <c r="Q41" s="13"/>
      <c r="R41" s="10"/>
      <c r="S41" s="10"/>
      <c r="T41" s="10"/>
      <c r="U41" s="10"/>
      <c r="V41" s="10"/>
      <c r="W41" s="10"/>
      <c r="X41" s="10"/>
      <c r="Y41" s="10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2"/>
    </row>
    <row r="42" spans="1:36" x14ac:dyDescent="0.3">
      <c r="A42" s="11"/>
      <c r="B42" s="11"/>
      <c r="C42" s="11"/>
      <c r="D42" s="11"/>
      <c r="E42" s="11"/>
      <c r="F42" s="11"/>
      <c r="G42" s="9"/>
      <c r="H42" s="9"/>
      <c r="I42" s="9"/>
      <c r="J42" s="9"/>
      <c r="K42" s="9"/>
      <c r="L42" s="9"/>
      <c r="M42" s="9"/>
      <c r="N42" s="9"/>
      <c r="O42" s="9"/>
      <c r="P42" s="13"/>
      <c r="Q42" s="13"/>
      <c r="R42" s="10"/>
      <c r="S42" s="10"/>
      <c r="T42" s="10"/>
      <c r="U42" s="10"/>
      <c r="V42" s="10"/>
      <c r="W42" s="10"/>
      <c r="X42" s="10"/>
      <c r="Y42" s="10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</row>
    <row r="43" spans="1:36" x14ac:dyDescent="0.3">
      <c r="A43" s="11"/>
      <c r="B43" s="11"/>
      <c r="C43" s="11"/>
      <c r="D43" s="11"/>
      <c r="E43" s="11"/>
      <c r="F43" s="11"/>
      <c r="G43" s="9"/>
      <c r="H43" s="9"/>
      <c r="I43" s="9"/>
      <c r="J43" s="9"/>
      <c r="K43" s="9"/>
      <c r="L43" s="9"/>
      <c r="M43" s="9"/>
      <c r="N43" s="9"/>
      <c r="O43" s="9"/>
      <c r="P43" s="13"/>
      <c r="Q43" s="13"/>
      <c r="R43" s="10"/>
      <c r="S43" s="10"/>
      <c r="T43" s="10"/>
      <c r="U43" s="10"/>
      <c r="V43" s="10"/>
      <c r="W43" s="10"/>
      <c r="X43" s="10"/>
      <c r="Y43" s="10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2"/>
    </row>
    <row r="44" spans="1:36" x14ac:dyDescent="0.3">
      <c r="A44" s="11"/>
      <c r="B44" s="11"/>
      <c r="C44" s="11"/>
      <c r="D44" s="11"/>
      <c r="E44" s="11"/>
      <c r="F44" s="11"/>
      <c r="G44" s="9"/>
      <c r="H44" s="9"/>
      <c r="I44" s="9"/>
      <c r="J44" s="9"/>
      <c r="K44" s="9"/>
      <c r="L44" s="9"/>
      <c r="M44" s="9"/>
      <c r="N44" s="9"/>
      <c r="O44" s="9"/>
      <c r="P44" s="13"/>
      <c r="Q44" s="13"/>
      <c r="R44" s="10"/>
      <c r="S44" s="10"/>
      <c r="T44" s="10"/>
      <c r="U44" s="10"/>
      <c r="V44" s="10"/>
      <c r="W44" s="10"/>
      <c r="X44" s="10"/>
      <c r="Y44" s="10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2"/>
    </row>
    <row r="45" spans="1:36" x14ac:dyDescent="0.3">
      <c r="A45" s="11"/>
      <c r="B45" s="11"/>
      <c r="C45" s="11"/>
      <c r="D45" s="11"/>
      <c r="E45" s="11"/>
      <c r="F45" s="1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1"/>
      <c r="S45" s="7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2"/>
    </row>
    <row r="46" spans="1:36" x14ac:dyDescent="0.3">
      <c r="A46" s="11"/>
      <c r="B46" s="11"/>
      <c r="C46" s="11"/>
      <c r="D46" s="11"/>
      <c r="E46" s="11"/>
      <c r="F46" s="1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1"/>
      <c r="S46" s="7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2"/>
    </row>
    <row r="47" spans="1:36" x14ac:dyDescent="0.3">
      <c r="A47" s="11"/>
      <c r="B47" s="11"/>
      <c r="C47" s="11"/>
      <c r="D47" s="11"/>
      <c r="E47" s="11"/>
      <c r="F47" s="1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1"/>
      <c r="S47" s="7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2"/>
    </row>
    <row r="48" spans="1:36" x14ac:dyDescent="0.3">
      <c r="A48" s="11"/>
      <c r="B48" s="11"/>
      <c r="C48" s="11"/>
      <c r="D48" s="11"/>
      <c r="E48" s="11"/>
      <c r="F48" s="1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1"/>
      <c r="S48" s="7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2"/>
    </row>
    <row r="49" spans="1:36" x14ac:dyDescent="0.3">
      <c r="A49" s="11"/>
      <c r="B49" s="11"/>
      <c r="C49" s="11"/>
      <c r="D49" s="11"/>
      <c r="E49" s="11"/>
      <c r="F49" s="1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1"/>
      <c r="S49" s="7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2"/>
    </row>
    <row r="50" spans="1:36" x14ac:dyDescent="0.3">
      <c r="A50" s="11"/>
      <c r="B50" s="11"/>
      <c r="C50" s="11"/>
      <c r="D50" s="11"/>
      <c r="E50" s="11"/>
      <c r="F50" s="1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1"/>
      <c r="S50" s="7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2"/>
    </row>
    <row r="51" spans="1:36" x14ac:dyDescent="0.3">
      <c r="A51" s="11"/>
      <c r="B51" s="11"/>
      <c r="C51" s="11"/>
      <c r="D51" s="11"/>
      <c r="E51" s="11"/>
      <c r="F51" s="1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1"/>
      <c r="S51" s="7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2"/>
    </row>
    <row r="52" spans="1:36" x14ac:dyDescent="0.3">
      <c r="A52" s="11"/>
      <c r="B52" s="11"/>
      <c r="C52" s="11"/>
      <c r="D52" s="11"/>
      <c r="E52" s="11"/>
      <c r="F52" s="1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1"/>
      <c r="S52" s="7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2"/>
    </row>
    <row r="53" spans="1:36" x14ac:dyDescent="0.3">
      <c r="A53" s="11"/>
      <c r="B53" s="11"/>
      <c r="C53" s="11"/>
      <c r="D53" s="11"/>
      <c r="E53" s="11"/>
      <c r="F53" s="1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1"/>
      <c r="S53" s="7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2"/>
    </row>
    <row r="54" spans="1:36" x14ac:dyDescent="0.3">
      <c r="A54" s="11"/>
      <c r="B54" s="11"/>
      <c r="C54" s="11"/>
      <c r="D54" s="11"/>
      <c r="E54" s="11"/>
      <c r="F54" s="1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1"/>
      <c r="S54" s="7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2"/>
    </row>
    <row r="55" spans="1:36" x14ac:dyDescent="0.3">
      <c r="A55" s="11"/>
      <c r="B55" s="11"/>
      <c r="C55" s="11"/>
      <c r="D55" s="11"/>
      <c r="E55" s="11"/>
      <c r="F55" s="1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1"/>
      <c r="S55" s="7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2"/>
    </row>
    <row r="56" spans="1:36" x14ac:dyDescent="0.3">
      <c r="A56" s="11"/>
      <c r="B56" s="11"/>
      <c r="C56" s="11"/>
      <c r="D56" s="11"/>
      <c r="E56" s="11"/>
      <c r="F56" s="1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1"/>
      <c r="S56" s="7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2"/>
    </row>
    <row r="57" spans="1:36" x14ac:dyDescent="0.3">
      <c r="A57" s="11"/>
      <c r="B57" s="11"/>
      <c r="C57" s="11"/>
      <c r="D57" s="11"/>
      <c r="E57" s="11"/>
      <c r="F57" s="1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1"/>
      <c r="S57" s="7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2"/>
    </row>
    <row r="58" spans="1:36" x14ac:dyDescent="0.3">
      <c r="A58" s="11"/>
      <c r="B58" s="11"/>
      <c r="C58" s="11"/>
      <c r="D58" s="11"/>
      <c r="E58" s="11"/>
      <c r="F58" s="1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1"/>
      <c r="S58" s="7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2"/>
    </row>
    <row r="59" spans="1:36" x14ac:dyDescent="0.3">
      <c r="A59" s="11"/>
      <c r="B59" s="11"/>
      <c r="C59" s="11"/>
      <c r="D59" s="11"/>
      <c r="E59" s="11"/>
      <c r="F59" s="1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1"/>
      <c r="S59" s="7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2"/>
    </row>
    <row r="60" spans="1:36" x14ac:dyDescent="0.3">
      <c r="A60" s="11"/>
      <c r="B60" s="11"/>
      <c r="C60" s="11"/>
      <c r="D60" s="11"/>
      <c r="E60" s="11"/>
      <c r="F60" s="1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1"/>
      <c r="S60" s="7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2"/>
    </row>
    <row r="61" spans="1:36" x14ac:dyDescent="0.3">
      <c r="A61" s="11"/>
      <c r="B61" s="11"/>
      <c r="C61" s="11"/>
      <c r="D61" s="11"/>
      <c r="E61" s="11"/>
      <c r="F61" s="1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1"/>
      <c r="S61" s="7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2"/>
    </row>
    <row r="62" spans="1:36" x14ac:dyDescent="0.3">
      <c r="A62" s="11"/>
      <c r="B62" s="11"/>
      <c r="C62" s="11"/>
      <c r="D62" s="11"/>
      <c r="E62" s="11"/>
      <c r="F62" s="1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1"/>
      <c r="S62" s="7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2"/>
    </row>
    <row r="63" spans="1:36" x14ac:dyDescent="0.3">
      <c r="A63" s="11"/>
      <c r="B63" s="11"/>
      <c r="C63" s="11"/>
      <c r="D63" s="11"/>
      <c r="E63" s="11"/>
      <c r="F63" s="1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1"/>
      <c r="S63" s="7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2"/>
    </row>
    <row r="64" spans="1:36" x14ac:dyDescent="0.3">
      <c r="A64" s="62"/>
      <c r="B64" s="11"/>
      <c r="C64" s="11"/>
      <c r="D64" s="11"/>
      <c r="E64" s="11"/>
      <c r="F64" s="1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1"/>
      <c r="S64" s="7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2"/>
    </row>
    <row r="65" spans="1:36" x14ac:dyDescent="0.3">
      <c r="A65" s="62"/>
      <c r="B65" s="11"/>
      <c r="C65" s="11"/>
      <c r="D65" s="11"/>
      <c r="E65" s="11"/>
      <c r="F65" s="1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1"/>
      <c r="S65" s="7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2"/>
    </row>
    <row r="66" spans="1:36" x14ac:dyDescent="0.3">
      <c r="A66" s="62"/>
      <c r="B66" s="11"/>
      <c r="C66" s="11"/>
      <c r="D66" s="11"/>
      <c r="E66" s="11"/>
      <c r="F66" s="1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1"/>
      <c r="S66" s="7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2"/>
    </row>
    <row r="67" spans="1:36" x14ac:dyDescent="0.3">
      <c r="A67" s="62"/>
      <c r="B67" s="11"/>
      <c r="C67" s="11"/>
      <c r="D67" s="11"/>
      <c r="E67" s="11"/>
      <c r="F67" s="1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1"/>
      <c r="S67" s="7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2"/>
    </row>
    <row r="68" spans="1:36" x14ac:dyDescent="0.3">
      <c r="A68" s="62"/>
      <c r="B68" s="11"/>
      <c r="C68" s="11"/>
      <c r="D68" s="11"/>
      <c r="E68" s="11"/>
      <c r="F68" s="1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1"/>
      <c r="S68" s="7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2"/>
    </row>
    <row r="69" spans="1:36" x14ac:dyDescent="0.3">
      <c r="A69" s="62"/>
      <c r="B69" s="11"/>
      <c r="C69" s="11"/>
      <c r="D69" s="11"/>
      <c r="E69" s="11"/>
      <c r="F69" s="1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1"/>
      <c r="S69" s="7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2"/>
    </row>
    <row r="70" spans="1:36" x14ac:dyDescent="0.3">
      <c r="A70" s="62"/>
      <c r="B70" s="11"/>
      <c r="C70" s="11"/>
      <c r="D70" s="11"/>
      <c r="E70" s="11"/>
      <c r="F70" s="1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1"/>
      <c r="S70" s="7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2"/>
    </row>
    <row r="71" spans="1:36" x14ac:dyDescent="0.3">
      <c r="A71" s="62"/>
      <c r="B71" s="11"/>
      <c r="C71" s="11"/>
      <c r="D71" s="11"/>
      <c r="E71" s="11"/>
      <c r="F71" s="1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1"/>
      <c r="S71" s="7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2"/>
    </row>
    <row r="72" spans="1:36" x14ac:dyDescent="0.3">
      <c r="A72" s="62"/>
      <c r="B72" s="11"/>
      <c r="C72" s="11"/>
      <c r="D72" s="11"/>
      <c r="E72" s="11"/>
      <c r="F72" s="1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1"/>
      <c r="S72" s="7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2"/>
    </row>
    <row r="73" spans="1:36" x14ac:dyDescent="0.3">
      <c r="A73" s="62"/>
      <c r="B73" s="11"/>
      <c r="C73" s="11"/>
      <c r="D73" s="11"/>
      <c r="E73" s="11"/>
      <c r="F73" s="1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1"/>
      <c r="S73" s="7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2"/>
    </row>
    <row r="74" spans="1:36" x14ac:dyDescent="0.3">
      <c r="A74" s="62"/>
      <c r="B74" s="11"/>
      <c r="C74" s="11"/>
      <c r="D74" s="11"/>
      <c r="E74" s="11"/>
      <c r="F74" s="1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1"/>
      <c r="S74" s="7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2"/>
    </row>
    <row r="75" spans="1:36" x14ac:dyDescent="0.3">
      <c r="A75" s="62"/>
      <c r="B75" s="11"/>
      <c r="C75" s="11"/>
      <c r="D75" s="11"/>
      <c r="E75" s="11"/>
      <c r="F75" s="1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1"/>
      <c r="S75" s="7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2"/>
    </row>
    <row r="76" spans="1:36" x14ac:dyDescent="0.3">
      <c r="A76" s="62"/>
      <c r="B76" s="11"/>
      <c r="C76" s="11"/>
      <c r="D76" s="11"/>
      <c r="E76" s="11"/>
      <c r="F76" s="1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1"/>
      <c r="S76" s="7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2"/>
    </row>
    <row r="77" spans="1:36" x14ac:dyDescent="0.3">
      <c r="A77" s="62"/>
      <c r="B77" s="11"/>
      <c r="C77" s="11"/>
      <c r="D77" s="11"/>
      <c r="E77" s="11"/>
      <c r="F77" s="1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1"/>
      <c r="S77" s="7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2"/>
    </row>
    <row r="78" spans="1:36" x14ac:dyDescent="0.3">
      <c r="A78" s="62"/>
      <c r="B78" s="11"/>
      <c r="C78" s="11"/>
      <c r="D78" s="11"/>
      <c r="E78" s="11"/>
      <c r="F78" s="1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1"/>
      <c r="S78" s="7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2"/>
    </row>
    <row r="79" spans="1:36" x14ac:dyDescent="0.3">
      <c r="A79" s="62"/>
      <c r="B79" s="11"/>
      <c r="C79" s="11"/>
      <c r="D79" s="11"/>
      <c r="E79" s="11"/>
      <c r="F79" s="1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/>
      <c r="S79" s="7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2"/>
    </row>
    <row r="80" spans="1:36" x14ac:dyDescent="0.3">
      <c r="A80" s="62"/>
      <c r="B80" s="11"/>
      <c r="C80" s="11"/>
      <c r="D80" s="11"/>
      <c r="E80" s="11"/>
      <c r="F80" s="1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1"/>
      <c r="S80" s="7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2"/>
    </row>
    <row r="81" spans="1:36" x14ac:dyDescent="0.3">
      <c r="A81" s="62"/>
      <c r="B81" s="11"/>
      <c r="C81" s="11"/>
      <c r="D81" s="11"/>
      <c r="E81" s="11"/>
      <c r="F81" s="1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1"/>
      <c r="S81" s="7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2"/>
    </row>
    <row r="82" spans="1:36" x14ac:dyDescent="0.3">
      <c r="A82" s="62"/>
      <c r="B82" s="11"/>
      <c r="C82" s="11"/>
      <c r="D82" s="11"/>
      <c r="E82" s="11"/>
      <c r="F82" s="1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1"/>
      <c r="S82" s="7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2"/>
    </row>
    <row r="83" spans="1:36" x14ac:dyDescent="0.3">
      <c r="A83" s="62"/>
      <c r="B83" s="11"/>
      <c r="C83" s="11"/>
      <c r="D83" s="11"/>
      <c r="E83" s="11"/>
      <c r="F83" s="1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1"/>
      <c r="S83" s="7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2"/>
    </row>
    <row r="84" spans="1:36" x14ac:dyDescent="0.3">
      <c r="A84" s="62"/>
      <c r="B84" s="11"/>
      <c r="C84" s="11"/>
      <c r="D84" s="11"/>
      <c r="E84" s="11"/>
      <c r="F84" s="1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1"/>
      <c r="S84" s="7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2"/>
    </row>
    <row r="85" spans="1:36" x14ac:dyDescent="0.3">
      <c r="A85" s="62"/>
      <c r="B85" s="11"/>
      <c r="C85" s="11"/>
      <c r="D85" s="11"/>
      <c r="E85" s="11"/>
      <c r="F85" s="1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1"/>
      <c r="S85" s="7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2"/>
    </row>
    <row r="86" spans="1:36" x14ac:dyDescent="0.3">
      <c r="A86" s="62"/>
      <c r="B86" s="11"/>
      <c r="C86" s="11"/>
      <c r="D86" s="11"/>
      <c r="E86" s="11"/>
      <c r="F86" s="1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1"/>
      <c r="S86" s="7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2"/>
    </row>
    <row r="87" spans="1:36" x14ac:dyDescent="0.3">
      <c r="A87" s="62"/>
      <c r="B87" s="11"/>
      <c r="C87" s="11"/>
      <c r="D87" s="11"/>
      <c r="E87" s="11"/>
      <c r="F87" s="1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1"/>
      <c r="S87" s="7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2"/>
    </row>
    <row r="88" spans="1:36" x14ac:dyDescent="0.3">
      <c r="A88" s="62"/>
      <c r="B88" s="11"/>
      <c r="C88" s="11"/>
      <c r="D88" s="11"/>
      <c r="E88" s="11"/>
      <c r="F88" s="1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1"/>
      <c r="S88" s="7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2"/>
    </row>
    <row r="89" spans="1:36" x14ac:dyDescent="0.3">
      <c r="A89" s="62"/>
      <c r="B89" s="11"/>
      <c r="C89" s="11"/>
      <c r="D89" s="11"/>
      <c r="E89" s="11"/>
      <c r="F89" s="1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1"/>
      <c r="S89" s="7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2"/>
    </row>
    <row r="90" spans="1:36" x14ac:dyDescent="0.3">
      <c r="A90" s="62"/>
      <c r="B90" s="11"/>
      <c r="C90" s="11"/>
      <c r="D90" s="11"/>
      <c r="E90" s="11"/>
      <c r="F90" s="1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1"/>
      <c r="S90" s="7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2"/>
    </row>
    <row r="91" spans="1:36" x14ac:dyDescent="0.3">
      <c r="A91" s="62"/>
      <c r="B91" s="11"/>
      <c r="C91" s="11"/>
      <c r="D91" s="11"/>
      <c r="E91" s="11"/>
      <c r="F91" s="1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1"/>
      <c r="S91" s="7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2"/>
    </row>
    <row r="92" spans="1:36" x14ac:dyDescent="0.3">
      <c r="A92" s="62"/>
      <c r="B92" s="11"/>
      <c r="C92" s="11"/>
      <c r="D92" s="11"/>
      <c r="E92" s="11"/>
      <c r="F92" s="1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1"/>
      <c r="S92" s="7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2"/>
    </row>
    <row r="93" spans="1:36" x14ac:dyDescent="0.3">
      <c r="A93" s="62"/>
      <c r="B93" s="11"/>
      <c r="C93" s="11"/>
      <c r="D93" s="11"/>
      <c r="E93" s="11"/>
      <c r="F93" s="1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1"/>
      <c r="S93" s="7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2"/>
    </row>
    <row r="94" spans="1:36" x14ac:dyDescent="0.3">
      <c r="A94" s="62"/>
      <c r="B94" s="11"/>
      <c r="C94" s="11"/>
      <c r="D94" s="11"/>
      <c r="E94" s="11"/>
      <c r="F94" s="1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1"/>
      <c r="S94" s="7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2"/>
    </row>
    <row r="95" spans="1:36" x14ac:dyDescent="0.3">
      <c r="A95" s="62"/>
      <c r="B95" s="11"/>
      <c r="C95" s="11"/>
      <c r="D95" s="11"/>
      <c r="E95" s="11"/>
      <c r="F95" s="1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1"/>
      <c r="S95" s="7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2"/>
    </row>
    <row r="96" spans="1:36" x14ac:dyDescent="0.3">
      <c r="A96" s="62"/>
      <c r="B96" s="11"/>
      <c r="C96" s="11"/>
      <c r="D96" s="11"/>
      <c r="E96" s="11"/>
      <c r="F96" s="1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/>
      <c r="S96" s="7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2"/>
    </row>
    <row r="97" spans="1:36" x14ac:dyDescent="0.3">
      <c r="A97" s="62"/>
      <c r="B97" s="11"/>
      <c r="C97" s="11"/>
      <c r="D97" s="11"/>
      <c r="E97" s="11"/>
      <c r="F97" s="1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/>
      <c r="S97" s="7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2"/>
    </row>
    <row r="98" spans="1:36" x14ac:dyDescent="0.3">
      <c r="A98" s="62"/>
      <c r="B98" s="11"/>
      <c r="C98" s="11"/>
      <c r="D98" s="11"/>
      <c r="E98" s="11"/>
      <c r="F98" s="1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/>
      <c r="S98" s="7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2"/>
    </row>
    <row r="99" spans="1:36" x14ac:dyDescent="0.3">
      <c r="A99" s="62"/>
      <c r="B99" s="11"/>
      <c r="C99" s="11"/>
      <c r="D99" s="11"/>
      <c r="E99" s="11"/>
      <c r="F99" s="1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1"/>
      <c r="S99" s="7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2"/>
    </row>
    <row r="100" spans="1:36" x14ac:dyDescent="0.3">
      <c r="A100" s="62"/>
      <c r="B100" s="11"/>
      <c r="C100" s="11"/>
      <c r="D100" s="11"/>
      <c r="E100" s="11"/>
      <c r="F100" s="1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1"/>
      <c r="S100" s="7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2"/>
    </row>
    <row r="101" spans="1:36" x14ac:dyDescent="0.3">
      <c r="A101" s="62"/>
      <c r="B101" s="11"/>
      <c r="C101" s="11"/>
      <c r="D101" s="11"/>
      <c r="E101" s="11"/>
      <c r="F101" s="1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1"/>
      <c r="S101" s="7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2"/>
    </row>
    <row r="102" spans="1:36" x14ac:dyDescent="0.3">
      <c r="A102" s="62"/>
      <c r="B102" s="11"/>
      <c r="C102" s="11"/>
      <c r="D102" s="11"/>
      <c r="E102" s="11"/>
      <c r="F102" s="1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1"/>
      <c r="S102" s="7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2"/>
    </row>
    <row r="103" spans="1:36" x14ac:dyDescent="0.3">
      <c r="A103" s="62"/>
      <c r="B103" s="11"/>
      <c r="C103" s="11"/>
      <c r="D103" s="11"/>
      <c r="E103" s="11"/>
      <c r="F103" s="1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1"/>
      <c r="S103" s="7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2"/>
    </row>
    <row r="104" spans="1:36" x14ac:dyDescent="0.3">
      <c r="A104" s="62"/>
      <c r="B104" s="11"/>
      <c r="C104" s="11"/>
      <c r="D104" s="11"/>
      <c r="E104" s="11"/>
      <c r="F104" s="1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1"/>
      <c r="S104" s="7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2"/>
    </row>
    <row r="105" spans="1:36" x14ac:dyDescent="0.3">
      <c r="A105" s="62"/>
      <c r="B105" s="11"/>
      <c r="C105" s="11"/>
      <c r="D105" s="11"/>
      <c r="E105" s="11"/>
      <c r="F105" s="1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1"/>
      <c r="S105" s="7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2"/>
    </row>
    <row r="106" spans="1:36" x14ac:dyDescent="0.3">
      <c r="A106" s="62"/>
      <c r="B106" s="11"/>
      <c r="C106" s="11"/>
      <c r="D106" s="11"/>
      <c r="E106" s="11"/>
      <c r="F106" s="1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1"/>
      <c r="S106" s="7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2"/>
    </row>
    <row r="107" spans="1:36" x14ac:dyDescent="0.3">
      <c r="A107" s="62"/>
      <c r="B107" s="11"/>
      <c r="C107" s="11"/>
      <c r="D107" s="11"/>
      <c r="E107" s="11"/>
      <c r="F107" s="1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1"/>
      <c r="S107" s="7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2"/>
    </row>
    <row r="108" spans="1:36" x14ac:dyDescent="0.3">
      <c r="A108" s="62"/>
      <c r="B108" s="11"/>
      <c r="C108" s="11"/>
      <c r="D108" s="11"/>
      <c r="E108" s="11"/>
      <c r="F108" s="1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1"/>
      <c r="S108" s="7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2"/>
    </row>
    <row r="109" spans="1:36" x14ac:dyDescent="0.3">
      <c r="A109" s="62"/>
      <c r="B109" s="11"/>
      <c r="C109" s="11"/>
      <c r="D109" s="11"/>
      <c r="E109" s="11"/>
      <c r="F109" s="1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1"/>
      <c r="S109" s="7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2"/>
    </row>
    <row r="110" spans="1:36" x14ac:dyDescent="0.3">
      <c r="A110" s="62"/>
      <c r="B110" s="11"/>
      <c r="C110" s="11"/>
      <c r="D110" s="11"/>
      <c r="E110" s="11"/>
      <c r="F110" s="1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1"/>
      <c r="S110" s="7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2"/>
    </row>
    <row r="111" spans="1:36" x14ac:dyDescent="0.3">
      <c r="A111" s="62"/>
      <c r="B111" s="11"/>
      <c r="C111" s="11"/>
      <c r="D111" s="11"/>
      <c r="E111" s="11"/>
      <c r="F111" s="1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1"/>
      <c r="S111" s="7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2"/>
    </row>
    <row r="112" spans="1:36" x14ac:dyDescent="0.3">
      <c r="A112" s="62"/>
      <c r="B112" s="11"/>
      <c r="C112" s="11"/>
      <c r="D112" s="11"/>
      <c r="E112" s="11"/>
      <c r="F112" s="1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1"/>
      <c r="S112" s="7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2"/>
    </row>
    <row r="113" spans="1:36" x14ac:dyDescent="0.3">
      <c r="A113" s="62"/>
      <c r="B113" s="11"/>
      <c r="C113" s="11"/>
      <c r="D113" s="11"/>
      <c r="E113" s="11"/>
      <c r="F113" s="1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1"/>
      <c r="S113" s="7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2"/>
    </row>
    <row r="114" spans="1:36" x14ac:dyDescent="0.3">
      <c r="A114" s="62"/>
      <c r="B114" s="11"/>
      <c r="C114" s="11"/>
      <c r="D114" s="11"/>
      <c r="E114" s="11"/>
      <c r="F114" s="1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1"/>
      <c r="S114" s="7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2"/>
    </row>
    <row r="115" spans="1:36" x14ac:dyDescent="0.3">
      <c r="A115" s="62"/>
      <c r="B115" s="11"/>
      <c r="C115" s="11"/>
      <c r="D115" s="11"/>
      <c r="E115" s="11"/>
      <c r="F115" s="1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1"/>
      <c r="S115" s="7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2"/>
    </row>
    <row r="116" spans="1:36" x14ac:dyDescent="0.3">
      <c r="A116" s="62"/>
      <c r="B116" s="11"/>
      <c r="C116" s="11"/>
      <c r="D116" s="11"/>
      <c r="E116" s="11"/>
      <c r="F116" s="1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1"/>
      <c r="S116" s="7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2"/>
    </row>
    <row r="117" spans="1:36" x14ac:dyDescent="0.3">
      <c r="A117" s="62"/>
      <c r="B117" s="11"/>
      <c r="C117" s="11"/>
      <c r="D117" s="11"/>
      <c r="E117" s="11"/>
      <c r="F117" s="1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1"/>
      <c r="S117" s="7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2"/>
    </row>
    <row r="118" spans="1:36" x14ac:dyDescent="0.3">
      <c r="A118" s="62"/>
      <c r="B118" s="11"/>
      <c r="C118" s="11"/>
      <c r="D118" s="11"/>
      <c r="E118" s="11"/>
      <c r="F118" s="1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1"/>
      <c r="S118" s="7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2"/>
    </row>
    <row r="119" spans="1:36" x14ac:dyDescent="0.3">
      <c r="A119" s="62"/>
      <c r="B119" s="11"/>
      <c r="C119" s="11"/>
      <c r="D119" s="11"/>
      <c r="E119" s="11"/>
      <c r="F119" s="1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1"/>
      <c r="S119" s="7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2"/>
    </row>
    <row r="120" spans="1:36" x14ac:dyDescent="0.3">
      <c r="A120" s="62"/>
      <c r="B120" s="11"/>
      <c r="C120" s="11"/>
      <c r="D120" s="11"/>
      <c r="E120" s="11"/>
      <c r="F120" s="1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1"/>
      <c r="S120" s="7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2"/>
    </row>
    <row r="121" spans="1:36" x14ac:dyDescent="0.3">
      <c r="A121" s="62"/>
      <c r="B121" s="11"/>
      <c r="C121" s="11"/>
      <c r="D121" s="11"/>
      <c r="E121" s="11"/>
      <c r="F121" s="1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1"/>
      <c r="S121" s="7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2"/>
    </row>
    <row r="122" spans="1:36" x14ac:dyDescent="0.3">
      <c r="A122" s="62"/>
      <c r="B122" s="11"/>
      <c r="C122" s="11"/>
      <c r="D122" s="11"/>
      <c r="E122" s="11"/>
      <c r="F122" s="1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1"/>
      <c r="S122" s="7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2"/>
    </row>
    <row r="123" spans="1:36" x14ac:dyDescent="0.3">
      <c r="A123" s="62"/>
      <c r="B123" s="11"/>
      <c r="C123" s="11"/>
      <c r="D123" s="11"/>
      <c r="E123" s="11"/>
      <c r="F123" s="1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1"/>
      <c r="S123" s="7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2"/>
    </row>
    <row r="124" spans="1:36" x14ac:dyDescent="0.3">
      <c r="A124" s="62"/>
      <c r="B124" s="11"/>
      <c r="C124" s="11"/>
      <c r="D124" s="11"/>
      <c r="E124" s="11"/>
      <c r="F124" s="1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1"/>
      <c r="S124" s="7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2"/>
    </row>
    <row r="125" spans="1:36" x14ac:dyDescent="0.3">
      <c r="A125" s="62"/>
      <c r="B125" s="11"/>
      <c r="C125" s="11"/>
      <c r="D125" s="11"/>
      <c r="E125" s="11"/>
      <c r="F125" s="1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1"/>
      <c r="S125" s="7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2"/>
    </row>
    <row r="126" spans="1:36" x14ac:dyDescent="0.3">
      <c r="A126" s="62"/>
      <c r="B126" s="11"/>
      <c r="C126" s="11"/>
      <c r="D126" s="11"/>
      <c r="E126" s="11"/>
      <c r="F126" s="1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1"/>
      <c r="S126" s="7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2"/>
    </row>
    <row r="127" spans="1:36" x14ac:dyDescent="0.3">
      <c r="A127" s="62"/>
      <c r="B127" s="11"/>
      <c r="C127" s="11"/>
      <c r="D127" s="11"/>
      <c r="E127" s="11"/>
      <c r="F127" s="1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1"/>
      <c r="S127" s="7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2"/>
    </row>
    <row r="128" spans="1:36" x14ac:dyDescent="0.3">
      <c r="A128" s="62"/>
      <c r="B128" s="11"/>
      <c r="C128" s="11"/>
      <c r="D128" s="11"/>
      <c r="E128" s="11"/>
      <c r="F128" s="1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1"/>
      <c r="S128" s="7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2"/>
    </row>
    <row r="129" spans="1:36" x14ac:dyDescent="0.3">
      <c r="A129" s="62"/>
      <c r="B129" s="11"/>
      <c r="C129" s="11"/>
      <c r="D129" s="11"/>
      <c r="E129" s="11"/>
      <c r="F129" s="1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1"/>
      <c r="S129" s="7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2"/>
    </row>
    <row r="130" spans="1:36" x14ac:dyDescent="0.3">
      <c r="A130" s="62"/>
      <c r="B130" s="11"/>
      <c r="C130" s="11"/>
      <c r="D130" s="11"/>
      <c r="E130" s="11"/>
      <c r="F130" s="1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1"/>
      <c r="S130" s="7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2"/>
    </row>
    <row r="131" spans="1:36" x14ac:dyDescent="0.3">
      <c r="A131" s="62"/>
      <c r="B131" s="11"/>
      <c r="C131" s="11"/>
      <c r="D131" s="11"/>
      <c r="E131" s="11"/>
      <c r="F131" s="1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1"/>
      <c r="S131" s="7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2"/>
    </row>
    <row r="132" spans="1:36" x14ac:dyDescent="0.3">
      <c r="A132" s="62"/>
      <c r="B132" s="11"/>
      <c r="C132" s="11"/>
      <c r="D132" s="11"/>
      <c r="E132" s="11"/>
      <c r="F132" s="1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1"/>
      <c r="S132" s="7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2"/>
    </row>
    <row r="133" spans="1:36" x14ac:dyDescent="0.3">
      <c r="A133" s="62"/>
      <c r="B133" s="11"/>
      <c r="C133" s="11"/>
      <c r="D133" s="11"/>
      <c r="E133" s="11"/>
      <c r="F133" s="1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1"/>
      <c r="S133" s="7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2"/>
    </row>
    <row r="134" spans="1:36" x14ac:dyDescent="0.3">
      <c r="A134" s="62"/>
      <c r="B134" s="11"/>
      <c r="C134" s="11"/>
      <c r="D134" s="11"/>
      <c r="E134" s="11"/>
      <c r="F134" s="1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1"/>
      <c r="S134" s="7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2"/>
    </row>
    <row r="135" spans="1:36" x14ac:dyDescent="0.3">
      <c r="A135" s="62"/>
      <c r="B135" s="11"/>
      <c r="C135" s="11"/>
      <c r="D135" s="11"/>
      <c r="E135" s="11"/>
      <c r="F135" s="1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1"/>
      <c r="S135" s="7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2"/>
    </row>
    <row r="136" spans="1:36" x14ac:dyDescent="0.3">
      <c r="A136" s="62"/>
      <c r="B136" s="11"/>
      <c r="C136" s="11"/>
      <c r="D136" s="11"/>
      <c r="E136" s="11"/>
      <c r="F136" s="1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1"/>
      <c r="S136" s="7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2"/>
    </row>
    <row r="137" spans="1:36" x14ac:dyDescent="0.3">
      <c r="A137" s="62"/>
      <c r="B137" s="11"/>
      <c r="C137" s="11"/>
      <c r="D137" s="11"/>
      <c r="E137" s="11"/>
      <c r="F137" s="1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1"/>
      <c r="S137" s="7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2"/>
    </row>
    <row r="138" spans="1:36" x14ac:dyDescent="0.3">
      <c r="A138" s="62"/>
      <c r="B138" s="11"/>
      <c r="C138" s="11"/>
      <c r="D138" s="11"/>
      <c r="E138" s="11"/>
      <c r="F138" s="1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1"/>
      <c r="S138" s="7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2"/>
    </row>
    <row r="139" spans="1:36" x14ac:dyDescent="0.3">
      <c r="A139" s="62"/>
      <c r="B139" s="11"/>
      <c r="C139" s="11"/>
      <c r="D139" s="11"/>
      <c r="E139" s="11"/>
      <c r="F139" s="1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1"/>
      <c r="S139" s="7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2"/>
    </row>
    <row r="140" spans="1:36" x14ac:dyDescent="0.3">
      <c r="A140" s="62"/>
      <c r="B140" s="11"/>
      <c r="C140" s="11"/>
      <c r="D140" s="11"/>
      <c r="E140" s="11"/>
      <c r="F140" s="1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1"/>
      <c r="S140" s="7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2"/>
    </row>
    <row r="141" spans="1:36" x14ac:dyDescent="0.3">
      <c r="A141" s="62"/>
      <c r="B141" s="11"/>
      <c r="C141" s="11"/>
      <c r="D141" s="11"/>
      <c r="E141" s="11"/>
      <c r="F141" s="1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1"/>
      <c r="S141" s="7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2"/>
    </row>
    <row r="142" spans="1:36" x14ac:dyDescent="0.3">
      <c r="A142" s="62"/>
      <c r="B142" s="11"/>
      <c r="C142" s="11"/>
      <c r="D142" s="11"/>
      <c r="E142" s="11"/>
      <c r="F142" s="1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1"/>
      <c r="S142" s="7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2"/>
    </row>
    <row r="143" spans="1:36" x14ac:dyDescent="0.3">
      <c r="A143" s="62"/>
      <c r="B143" s="11"/>
      <c r="C143" s="11"/>
      <c r="D143" s="11"/>
      <c r="E143" s="11"/>
      <c r="F143" s="1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1"/>
      <c r="S143" s="7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2"/>
    </row>
    <row r="144" spans="1:36" x14ac:dyDescent="0.3">
      <c r="A144" s="62"/>
      <c r="B144" s="11"/>
      <c r="C144" s="11"/>
      <c r="D144" s="11"/>
      <c r="E144" s="11"/>
      <c r="F144" s="1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1"/>
      <c r="S144" s="7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2"/>
    </row>
    <row r="145" spans="1:36" x14ac:dyDescent="0.3">
      <c r="A145" s="62"/>
      <c r="B145" s="11"/>
      <c r="C145" s="11"/>
      <c r="D145" s="11"/>
      <c r="E145" s="11"/>
      <c r="F145" s="1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1"/>
      <c r="S145" s="7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2"/>
    </row>
    <row r="146" spans="1:36" x14ac:dyDescent="0.3">
      <c r="A146" s="62"/>
      <c r="B146" s="11"/>
      <c r="C146" s="11"/>
      <c r="D146" s="11"/>
      <c r="E146" s="11"/>
      <c r="F146" s="1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1"/>
      <c r="S146" s="7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2"/>
    </row>
    <row r="147" spans="1:36" x14ac:dyDescent="0.3">
      <c r="A147" s="62"/>
      <c r="B147" s="11"/>
      <c r="C147" s="11"/>
      <c r="D147" s="11"/>
      <c r="E147" s="11"/>
      <c r="F147" s="1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1"/>
      <c r="S147" s="7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2"/>
    </row>
    <row r="148" spans="1:36" x14ac:dyDescent="0.3">
      <c r="A148" s="62"/>
      <c r="B148" s="11"/>
      <c r="C148" s="11"/>
      <c r="D148" s="11"/>
      <c r="E148" s="11"/>
      <c r="F148" s="1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1"/>
      <c r="S148" s="7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2"/>
    </row>
    <row r="149" spans="1:36" x14ac:dyDescent="0.3">
      <c r="A149" s="62"/>
      <c r="B149" s="11"/>
      <c r="C149" s="11"/>
      <c r="D149" s="11"/>
      <c r="E149" s="11"/>
      <c r="F149" s="1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1"/>
      <c r="S149" s="7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2"/>
    </row>
    <row r="150" spans="1:36" x14ac:dyDescent="0.3">
      <c r="A150" s="62"/>
      <c r="B150" s="11"/>
      <c r="C150" s="11"/>
      <c r="D150" s="11"/>
      <c r="E150" s="11"/>
      <c r="F150" s="1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1"/>
      <c r="S150" s="7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2"/>
    </row>
    <row r="151" spans="1:36" x14ac:dyDescent="0.3">
      <c r="A151" s="62"/>
      <c r="B151" s="11"/>
      <c r="C151" s="11"/>
      <c r="D151" s="11"/>
      <c r="E151" s="11"/>
      <c r="F151" s="1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1"/>
      <c r="S151" s="7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2"/>
    </row>
    <row r="152" spans="1:36" x14ac:dyDescent="0.3">
      <c r="A152" s="62"/>
      <c r="B152" s="11"/>
      <c r="C152" s="11"/>
      <c r="D152" s="11"/>
      <c r="E152" s="11"/>
      <c r="F152" s="1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1"/>
      <c r="S152" s="7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2"/>
    </row>
    <row r="153" spans="1:36" x14ac:dyDescent="0.3">
      <c r="A153" s="62"/>
      <c r="B153" s="11"/>
      <c r="C153" s="11"/>
      <c r="D153" s="11"/>
      <c r="E153" s="11"/>
      <c r="F153" s="1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1"/>
      <c r="S153" s="7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2"/>
    </row>
    <row r="154" spans="1:36" x14ac:dyDescent="0.3">
      <c r="A154" s="62"/>
      <c r="B154" s="11"/>
      <c r="C154" s="11"/>
      <c r="D154" s="11"/>
      <c r="E154" s="11"/>
      <c r="F154" s="1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1"/>
      <c r="S154" s="7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2"/>
    </row>
    <row r="155" spans="1:36" x14ac:dyDescent="0.3">
      <c r="A155" s="62"/>
      <c r="B155" s="11"/>
      <c r="C155" s="11"/>
      <c r="D155" s="11"/>
      <c r="E155" s="11"/>
      <c r="F155" s="1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1"/>
      <c r="S155" s="7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2"/>
    </row>
    <row r="156" spans="1:36" x14ac:dyDescent="0.3">
      <c r="A156" s="62"/>
      <c r="B156" s="11"/>
      <c r="C156" s="11"/>
      <c r="D156" s="11"/>
      <c r="E156" s="11"/>
      <c r="F156" s="1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1"/>
      <c r="S156" s="7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2"/>
    </row>
    <row r="157" spans="1:36" x14ac:dyDescent="0.3">
      <c r="A157" s="62"/>
      <c r="B157" s="11"/>
      <c r="C157" s="11"/>
      <c r="D157" s="11"/>
      <c r="E157" s="11"/>
      <c r="F157" s="1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1"/>
      <c r="S157" s="7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2"/>
    </row>
    <row r="158" spans="1:36" x14ac:dyDescent="0.3">
      <c r="A158" s="62"/>
      <c r="B158" s="11"/>
      <c r="C158" s="11"/>
      <c r="D158" s="11"/>
      <c r="E158" s="11"/>
      <c r="F158" s="1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1"/>
      <c r="S158" s="7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2"/>
    </row>
    <row r="159" spans="1:36" x14ac:dyDescent="0.3">
      <c r="A159" s="62"/>
      <c r="B159" s="11"/>
      <c r="C159" s="11"/>
      <c r="D159" s="11"/>
      <c r="E159" s="11"/>
      <c r="F159" s="1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1"/>
      <c r="S159" s="7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2"/>
    </row>
    <row r="160" spans="1:36" x14ac:dyDescent="0.3">
      <c r="A160" s="62"/>
      <c r="B160" s="11"/>
      <c r="C160" s="11"/>
      <c r="D160" s="11"/>
      <c r="E160" s="11"/>
      <c r="F160" s="1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1"/>
      <c r="S160" s="7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2"/>
    </row>
    <row r="161" spans="1:36" x14ac:dyDescent="0.3">
      <c r="A161" s="62"/>
      <c r="B161" s="11"/>
      <c r="C161" s="11"/>
      <c r="D161" s="11"/>
      <c r="E161" s="11"/>
      <c r="F161" s="1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1"/>
      <c r="S161" s="7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2"/>
    </row>
    <row r="162" spans="1:36" x14ac:dyDescent="0.3">
      <c r="A162" s="62"/>
      <c r="B162" s="11"/>
      <c r="C162" s="11"/>
      <c r="D162" s="11"/>
      <c r="E162" s="11"/>
      <c r="F162" s="1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1"/>
      <c r="S162" s="7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2"/>
    </row>
    <row r="163" spans="1:36" x14ac:dyDescent="0.3">
      <c r="A163" s="62"/>
      <c r="B163" s="11"/>
      <c r="C163" s="11"/>
      <c r="D163" s="11"/>
      <c r="E163" s="11"/>
      <c r="F163" s="1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1"/>
      <c r="S163" s="7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2"/>
    </row>
    <row r="164" spans="1:36" x14ac:dyDescent="0.3">
      <c r="A164" s="62"/>
      <c r="B164" s="11"/>
      <c r="C164" s="11"/>
      <c r="D164" s="11"/>
      <c r="E164" s="11"/>
      <c r="F164" s="1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1"/>
      <c r="S164" s="7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2"/>
    </row>
    <row r="165" spans="1:36" x14ac:dyDescent="0.3">
      <c r="A165" s="62"/>
      <c r="B165" s="11"/>
      <c r="C165" s="11"/>
      <c r="D165" s="11"/>
      <c r="E165" s="11"/>
      <c r="F165" s="1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1"/>
      <c r="S165" s="7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2"/>
    </row>
    <row r="166" spans="1:36" x14ac:dyDescent="0.3">
      <c r="A166" s="62"/>
      <c r="B166" s="11"/>
      <c r="C166" s="11"/>
      <c r="D166" s="11"/>
      <c r="E166" s="11"/>
      <c r="F166" s="1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1"/>
      <c r="S166" s="7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2"/>
    </row>
    <row r="167" spans="1:36" x14ac:dyDescent="0.3">
      <c r="A167" s="62"/>
      <c r="B167" s="11"/>
      <c r="C167" s="11"/>
      <c r="D167" s="11"/>
      <c r="E167" s="11"/>
      <c r="F167" s="1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1"/>
      <c r="S167" s="7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2"/>
    </row>
    <row r="168" spans="1:36" x14ac:dyDescent="0.3">
      <c r="A168" s="62"/>
      <c r="B168" s="11"/>
      <c r="C168" s="11"/>
      <c r="D168" s="11"/>
      <c r="E168" s="11"/>
      <c r="F168" s="1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1"/>
      <c r="S168" s="7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2"/>
    </row>
    <row r="169" spans="1:36" x14ac:dyDescent="0.3">
      <c r="A169" s="62"/>
      <c r="B169" s="11"/>
      <c r="C169" s="11"/>
      <c r="D169" s="11"/>
      <c r="E169" s="11"/>
      <c r="F169" s="1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1"/>
      <c r="S169" s="7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2"/>
    </row>
    <row r="170" spans="1:36" x14ac:dyDescent="0.3">
      <c r="A170" s="62"/>
      <c r="B170" s="11"/>
      <c r="C170" s="11"/>
      <c r="D170" s="11"/>
      <c r="E170" s="11"/>
      <c r="F170" s="1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1"/>
      <c r="S170" s="7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2"/>
    </row>
    <row r="171" spans="1:36" x14ac:dyDescent="0.3">
      <c r="A171" s="62"/>
      <c r="B171" s="11"/>
      <c r="C171" s="11"/>
      <c r="D171" s="11"/>
      <c r="E171" s="11"/>
      <c r="F171" s="1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1"/>
      <c r="S171" s="7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2"/>
    </row>
    <row r="172" spans="1:36" x14ac:dyDescent="0.3">
      <c r="A172" s="62"/>
      <c r="B172" s="11"/>
      <c r="C172" s="11"/>
      <c r="D172" s="11"/>
      <c r="E172" s="11"/>
      <c r="F172" s="1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1"/>
      <c r="S172" s="7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2"/>
    </row>
    <row r="173" spans="1:36" x14ac:dyDescent="0.3">
      <c r="A173" s="62"/>
      <c r="B173" s="11"/>
      <c r="C173" s="11"/>
      <c r="D173" s="11"/>
      <c r="E173" s="11"/>
      <c r="F173" s="1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1"/>
      <c r="S173" s="7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2"/>
    </row>
    <row r="174" spans="1:36" x14ac:dyDescent="0.3">
      <c r="A174" s="62"/>
      <c r="B174" s="11"/>
      <c r="C174" s="11"/>
      <c r="D174" s="11"/>
      <c r="E174" s="11"/>
      <c r="F174" s="1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1"/>
      <c r="S174" s="7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2"/>
    </row>
    <row r="175" spans="1:36" x14ac:dyDescent="0.3">
      <c r="A175" s="62"/>
      <c r="B175" s="11"/>
      <c r="C175" s="11"/>
      <c r="D175" s="11"/>
      <c r="E175" s="11"/>
      <c r="F175" s="1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1"/>
      <c r="S175" s="7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2"/>
    </row>
    <row r="176" spans="1:36" x14ac:dyDescent="0.3">
      <c r="A176" s="62"/>
      <c r="B176" s="11"/>
      <c r="C176" s="11"/>
      <c r="D176" s="11"/>
      <c r="E176" s="11"/>
      <c r="F176" s="1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1"/>
      <c r="S176" s="7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2"/>
    </row>
    <row r="177" spans="1:36" x14ac:dyDescent="0.3">
      <c r="A177" s="62"/>
      <c r="B177" s="11"/>
      <c r="C177" s="11"/>
      <c r="D177" s="11"/>
      <c r="E177" s="11"/>
      <c r="F177" s="1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1"/>
      <c r="S177" s="7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2"/>
    </row>
    <row r="178" spans="1:36" x14ac:dyDescent="0.3">
      <c r="A178" s="62"/>
      <c r="B178" s="11"/>
      <c r="C178" s="11"/>
      <c r="D178" s="11"/>
      <c r="E178" s="11"/>
      <c r="F178" s="1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1"/>
      <c r="S178" s="7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2"/>
    </row>
    <row r="179" spans="1:36" x14ac:dyDescent="0.3">
      <c r="A179" s="62"/>
      <c r="B179" s="11"/>
      <c r="C179" s="11"/>
      <c r="D179" s="11"/>
      <c r="E179" s="11"/>
      <c r="F179" s="1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1"/>
      <c r="S179" s="7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2"/>
    </row>
    <row r="180" spans="1:36" x14ac:dyDescent="0.3">
      <c r="A180" s="62"/>
      <c r="B180" s="11"/>
      <c r="C180" s="11"/>
      <c r="D180" s="11"/>
      <c r="E180" s="11"/>
      <c r="F180" s="1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1"/>
      <c r="S180" s="7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2"/>
    </row>
    <row r="181" spans="1:36" x14ac:dyDescent="0.3">
      <c r="A181" s="62"/>
      <c r="B181" s="11"/>
      <c r="C181" s="11"/>
      <c r="D181" s="11"/>
      <c r="E181" s="11"/>
      <c r="F181" s="1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1"/>
      <c r="S181" s="7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2"/>
    </row>
    <row r="182" spans="1:36" x14ac:dyDescent="0.3">
      <c r="A182" s="62"/>
      <c r="B182" s="11"/>
      <c r="C182" s="11"/>
      <c r="D182" s="11"/>
      <c r="E182" s="11"/>
      <c r="F182" s="1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1"/>
      <c r="S182" s="7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2"/>
    </row>
    <row r="183" spans="1:36" x14ac:dyDescent="0.3">
      <c r="A183" s="62"/>
      <c r="B183" s="11"/>
      <c r="C183" s="11"/>
      <c r="D183" s="11"/>
      <c r="E183" s="11"/>
      <c r="F183" s="1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1"/>
      <c r="S183" s="7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2"/>
    </row>
    <row r="184" spans="1:36" x14ac:dyDescent="0.3">
      <c r="A184" s="62"/>
      <c r="B184" s="11"/>
      <c r="C184" s="11"/>
      <c r="D184" s="11"/>
      <c r="E184" s="11"/>
      <c r="F184" s="1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1"/>
      <c r="S184" s="7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2"/>
    </row>
    <row r="185" spans="1:36" x14ac:dyDescent="0.3">
      <c r="A185" s="62"/>
      <c r="B185" s="11"/>
      <c r="C185" s="11"/>
      <c r="D185" s="11"/>
      <c r="E185" s="11"/>
      <c r="F185" s="1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1"/>
      <c r="S185" s="7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2"/>
    </row>
    <row r="186" spans="1:36" x14ac:dyDescent="0.3">
      <c r="A186" s="62"/>
      <c r="B186" s="11"/>
      <c r="C186" s="11"/>
      <c r="D186" s="11"/>
      <c r="E186" s="11"/>
      <c r="F186" s="1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1"/>
      <c r="S186" s="7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2"/>
    </row>
    <row r="187" spans="1:36" x14ac:dyDescent="0.3">
      <c r="A187" s="62"/>
      <c r="B187" s="11"/>
      <c r="C187" s="11"/>
      <c r="D187" s="11"/>
      <c r="E187" s="11"/>
      <c r="F187" s="1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1"/>
      <c r="S187" s="7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2"/>
    </row>
    <row r="188" spans="1:36" x14ac:dyDescent="0.3">
      <c r="A188" s="62"/>
      <c r="B188" s="11"/>
      <c r="C188" s="11"/>
      <c r="D188" s="11"/>
      <c r="E188" s="11"/>
      <c r="F188" s="1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1"/>
      <c r="S188" s="7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2"/>
    </row>
    <row r="189" spans="1:36" x14ac:dyDescent="0.3">
      <c r="A189" s="62"/>
      <c r="B189" s="11"/>
      <c r="C189" s="11"/>
      <c r="D189" s="11"/>
      <c r="E189" s="11"/>
      <c r="F189" s="1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1"/>
      <c r="S189" s="7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2"/>
    </row>
    <row r="190" spans="1:36" x14ac:dyDescent="0.3">
      <c r="A190" s="62"/>
      <c r="B190" s="11"/>
      <c r="C190" s="11"/>
      <c r="D190" s="11"/>
      <c r="E190" s="11"/>
      <c r="F190" s="1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1"/>
      <c r="S190" s="7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2"/>
    </row>
    <row r="191" spans="1:36" x14ac:dyDescent="0.3">
      <c r="A191" s="62"/>
      <c r="B191" s="11"/>
      <c r="C191" s="11"/>
      <c r="D191" s="11"/>
      <c r="E191" s="11"/>
      <c r="F191" s="1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1"/>
      <c r="S191" s="7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2"/>
    </row>
    <row r="192" spans="1:36" x14ac:dyDescent="0.3">
      <c r="A192" s="62"/>
      <c r="B192" s="11"/>
      <c r="C192" s="11"/>
      <c r="D192" s="11"/>
      <c r="E192" s="11"/>
      <c r="F192" s="1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1"/>
      <c r="S192" s="7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</row>
    <row r="193" spans="1:36" x14ac:dyDescent="0.3">
      <c r="A193" s="62"/>
      <c r="B193" s="11"/>
      <c r="C193" s="11"/>
      <c r="D193" s="11"/>
      <c r="E193" s="11"/>
      <c r="F193" s="1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1"/>
      <c r="S193" s="7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2"/>
    </row>
    <row r="194" spans="1:36" x14ac:dyDescent="0.3">
      <c r="A194" s="62"/>
      <c r="B194" s="11"/>
      <c r="C194" s="11"/>
      <c r="D194" s="11"/>
      <c r="E194" s="11"/>
      <c r="F194" s="1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1"/>
      <c r="S194" s="7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2"/>
    </row>
    <row r="195" spans="1:36" x14ac:dyDescent="0.3">
      <c r="A195" s="62"/>
      <c r="B195" s="11"/>
      <c r="C195" s="11"/>
      <c r="D195" s="11"/>
      <c r="E195" s="11"/>
      <c r="F195" s="1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1"/>
      <c r="S195" s="7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2"/>
    </row>
    <row r="196" spans="1:36" x14ac:dyDescent="0.3">
      <c r="A196" s="62"/>
      <c r="B196" s="11"/>
      <c r="C196" s="11"/>
      <c r="D196" s="11"/>
      <c r="E196" s="11"/>
      <c r="F196" s="1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1"/>
      <c r="S196" s="7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2"/>
    </row>
    <row r="197" spans="1:36" x14ac:dyDescent="0.3">
      <c r="A197" s="62"/>
      <c r="B197" s="11"/>
      <c r="C197" s="11"/>
      <c r="D197" s="11"/>
      <c r="E197" s="11"/>
      <c r="F197" s="1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1"/>
      <c r="S197" s="7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2"/>
    </row>
    <row r="198" spans="1:36" x14ac:dyDescent="0.3">
      <c r="A198" s="62"/>
      <c r="B198" s="11"/>
      <c r="C198" s="11"/>
      <c r="D198" s="11"/>
      <c r="E198" s="11"/>
      <c r="F198" s="1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1"/>
      <c r="S198" s="7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2"/>
    </row>
    <row r="199" spans="1:36" x14ac:dyDescent="0.3">
      <c r="A199" s="62"/>
      <c r="B199" s="11"/>
      <c r="C199" s="11"/>
      <c r="D199" s="11"/>
      <c r="E199" s="11"/>
      <c r="F199" s="1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1"/>
      <c r="S199" s="7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2"/>
    </row>
    <row r="200" spans="1:36" x14ac:dyDescent="0.3">
      <c r="A200" s="62"/>
      <c r="B200" s="11"/>
      <c r="C200" s="11"/>
      <c r="D200" s="11"/>
      <c r="E200" s="11"/>
      <c r="F200" s="1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1"/>
      <c r="S200" s="7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2"/>
    </row>
    <row r="201" spans="1:36" x14ac:dyDescent="0.3">
      <c r="A201" s="62"/>
      <c r="B201" s="11"/>
      <c r="C201" s="11"/>
      <c r="D201" s="11"/>
      <c r="E201" s="11"/>
      <c r="F201" s="1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1"/>
      <c r="S201" s="7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2"/>
    </row>
    <row r="202" spans="1:36" x14ac:dyDescent="0.3">
      <c r="A202" s="62"/>
      <c r="B202" s="11"/>
      <c r="C202" s="11"/>
      <c r="D202" s="11"/>
      <c r="E202" s="11"/>
      <c r="F202" s="1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1"/>
      <c r="S202" s="7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2"/>
    </row>
    <row r="203" spans="1:36" x14ac:dyDescent="0.3">
      <c r="A203" s="62"/>
      <c r="B203" s="11"/>
      <c r="C203" s="11"/>
      <c r="D203" s="11"/>
      <c r="E203" s="11"/>
      <c r="F203" s="1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1"/>
      <c r="S203" s="7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2"/>
    </row>
    <row r="204" spans="1:36" x14ac:dyDescent="0.3">
      <c r="A204" s="62"/>
      <c r="B204" s="11"/>
      <c r="C204" s="11"/>
      <c r="D204" s="11"/>
      <c r="E204" s="11"/>
      <c r="F204" s="1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1"/>
      <c r="S204" s="7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2"/>
    </row>
    <row r="205" spans="1:36" x14ac:dyDescent="0.3">
      <c r="A205" s="62"/>
      <c r="B205" s="11"/>
      <c r="C205" s="11"/>
      <c r="D205" s="11"/>
      <c r="E205" s="11"/>
      <c r="F205" s="1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1"/>
      <c r="S205" s="7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2"/>
    </row>
    <row r="206" spans="1:36" x14ac:dyDescent="0.3">
      <c r="A206" s="62"/>
      <c r="B206" s="11"/>
      <c r="C206" s="11"/>
      <c r="D206" s="11"/>
      <c r="E206" s="11"/>
      <c r="F206" s="1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1"/>
      <c r="S206" s="7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2"/>
    </row>
    <row r="207" spans="1:36" x14ac:dyDescent="0.3">
      <c r="A207" s="62"/>
      <c r="B207" s="11"/>
      <c r="C207" s="11"/>
      <c r="D207" s="11"/>
      <c r="E207" s="11"/>
      <c r="F207" s="1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1"/>
      <c r="S207" s="7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2"/>
    </row>
    <row r="208" spans="1:36" x14ac:dyDescent="0.3">
      <c r="A208" s="62"/>
      <c r="B208" s="11"/>
      <c r="C208" s="11"/>
      <c r="D208" s="11"/>
      <c r="E208" s="11"/>
      <c r="F208" s="1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1"/>
      <c r="S208" s="7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2"/>
    </row>
    <row r="209" spans="1:36" x14ac:dyDescent="0.3">
      <c r="A209" s="62"/>
      <c r="B209" s="11"/>
      <c r="C209" s="11"/>
      <c r="D209" s="11"/>
      <c r="E209" s="11"/>
      <c r="F209" s="1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1"/>
      <c r="S209" s="7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2"/>
    </row>
    <row r="210" spans="1:36" x14ac:dyDescent="0.3">
      <c r="A210" s="62"/>
      <c r="B210" s="11"/>
      <c r="C210" s="11"/>
      <c r="D210" s="11"/>
      <c r="E210" s="11"/>
      <c r="F210" s="1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1"/>
      <c r="S210" s="7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2"/>
    </row>
    <row r="211" spans="1:36" x14ac:dyDescent="0.3">
      <c r="A211" s="62"/>
      <c r="B211" s="11"/>
      <c r="C211" s="11"/>
      <c r="D211" s="11"/>
      <c r="E211" s="11"/>
      <c r="F211" s="1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1"/>
      <c r="S211" s="7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2"/>
    </row>
    <row r="212" spans="1:36" x14ac:dyDescent="0.3">
      <c r="A212" s="62"/>
      <c r="B212" s="11"/>
      <c r="C212" s="11"/>
      <c r="D212" s="11"/>
      <c r="E212" s="11"/>
      <c r="F212" s="1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1"/>
      <c r="S212" s="7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2"/>
    </row>
    <row r="213" spans="1:36" x14ac:dyDescent="0.3">
      <c r="A213" s="62"/>
      <c r="B213" s="11"/>
      <c r="C213" s="11"/>
      <c r="D213" s="11"/>
      <c r="E213" s="11"/>
      <c r="F213" s="1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1"/>
      <c r="S213" s="7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2"/>
    </row>
    <row r="214" spans="1:36" x14ac:dyDescent="0.3">
      <c r="A214" s="62"/>
      <c r="B214" s="11"/>
      <c r="C214" s="11"/>
      <c r="D214" s="11"/>
      <c r="E214" s="11"/>
      <c r="F214" s="1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1"/>
      <c r="S214" s="7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2"/>
    </row>
    <row r="215" spans="1:36" x14ac:dyDescent="0.3">
      <c r="A215" s="62"/>
      <c r="B215" s="11"/>
      <c r="C215" s="11"/>
      <c r="D215" s="11"/>
      <c r="E215" s="11"/>
      <c r="F215" s="1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1"/>
      <c r="S215" s="7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2"/>
    </row>
    <row r="216" spans="1:36" x14ac:dyDescent="0.3">
      <c r="A216" s="62"/>
      <c r="B216" s="11"/>
      <c r="C216" s="11"/>
      <c r="D216" s="11"/>
      <c r="E216" s="11"/>
      <c r="F216" s="1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1"/>
      <c r="S216" s="7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2"/>
    </row>
    <row r="217" spans="1:36" x14ac:dyDescent="0.3">
      <c r="A217" s="62"/>
      <c r="B217" s="11"/>
      <c r="C217" s="11"/>
      <c r="D217" s="11"/>
      <c r="E217" s="11"/>
      <c r="F217" s="1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1"/>
      <c r="S217" s="7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2"/>
    </row>
    <row r="218" spans="1:36" x14ac:dyDescent="0.3">
      <c r="A218" s="62"/>
      <c r="B218" s="11"/>
      <c r="C218" s="11"/>
      <c r="D218" s="11"/>
      <c r="E218" s="11"/>
      <c r="F218" s="1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1"/>
      <c r="S218" s="7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2"/>
    </row>
    <row r="219" spans="1:36" x14ac:dyDescent="0.3">
      <c r="A219" s="62"/>
      <c r="B219" s="11"/>
      <c r="C219" s="11"/>
      <c r="D219" s="11"/>
      <c r="E219" s="11"/>
      <c r="F219" s="1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1"/>
      <c r="S219" s="7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2"/>
    </row>
    <row r="220" spans="1:36" x14ac:dyDescent="0.3">
      <c r="A220" s="62"/>
      <c r="B220" s="11"/>
      <c r="C220" s="11"/>
      <c r="D220" s="11"/>
      <c r="E220" s="11"/>
      <c r="F220" s="1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1"/>
      <c r="S220" s="7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2"/>
    </row>
    <row r="221" spans="1:36" x14ac:dyDescent="0.3">
      <c r="A221" s="62"/>
      <c r="B221" s="11"/>
      <c r="C221" s="11"/>
      <c r="D221" s="11"/>
      <c r="E221" s="11"/>
      <c r="F221" s="1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1"/>
      <c r="S221" s="7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2"/>
    </row>
    <row r="222" spans="1:36" x14ac:dyDescent="0.3">
      <c r="A222" s="62"/>
      <c r="B222" s="11"/>
      <c r="C222" s="11"/>
      <c r="D222" s="11"/>
      <c r="E222" s="11"/>
      <c r="F222" s="1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1"/>
      <c r="S222" s="7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2"/>
    </row>
    <row r="223" spans="1:36" x14ac:dyDescent="0.3">
      <c r="A223" s="62"/>
      <c r="B223" s="11"/>
      <c r="C223" s="11"/>
      <c r="D223" s="11"/>
      <c r="E223" s="11"/>
      <c r="F223" s="1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1"/>
      <c r="S223" s="7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2"/>
    </row>
    <row r="224" spans="1:36" x14ac:dyDescent="0.3">
      <c r="A224" s="62"/>
      <c r="B224" s="11"/>
      <c r="C224" s="11"/>
      <c r="D224" s="11"/>
      <c r="E224" s="11"/>
      <c r="F224" s="1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1"/>
      <c r="S224" s="7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2"/>
    </row>
    <row r="225" spans="1:36" x14ac:dyDescent="0.3">
      <c r="A225" s="62"/>
      <c r="B225" s="11"/>
      <c r="C225" s="11"/>
      <c r="D225" s="11"/>
      <c r="E225" s="11"/>
      <c r="F225" s="1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1"/>
      <c r="S225" s="7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2"/>
    </row>
    <row r="226" spans="1:36" x14ac:dyDescent="0.3">
      <c r="A226" s="62"/>
      <c r="B226" s="11"/>
      <c r="C226" s="11"/>
      <c r="D226" s="11"/>
      <c r="E226" s="11"/>
      <c r="F226" s="1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1"/>
      <c r="S226" s="7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2"/>
    </row>
    <row r="227" spans="1:36" x14ac:dyDescent="0.3">
      <c r="A227" s="62"/>
      <c r="B227" s="11"/>
      <c r="C227" s="11"/>
      <c r="D227" s="11"/>
      <c r="E227" s="11"/>
      <c r="F227" s="1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1"/>
      <c r="S227" s="7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2"/>
    </row>
    <row r="228" spans="1:36" x14ac:dyDescent="0.3">
      <c r="A228" s="62"/>
      <c r="B228" s="11"/>
      <c r="C228" s="11"/>
      <c r="D228" s="11"/>
      <c r="E228" s="11"/>
      <c r="F228" s="1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1"/>
      <c r="S228" s="7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2"/>
    </row>
    <row r="229" spans="1:36" x14ac:dyDescent="0.3">
      <c r="A229" s="62"/>
      <c r="B229" s="11"/>
      <c r="C229" s="11"/>
      <c r="D229" s="11"/>
      <c r="E229" s="11"/>
      <c r="F229" s="1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1"/>
      <c r="S229" s="7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2"/>
    </row>
    <row r="230" spans="1:36" x14ac:dyDescent="0.3">
      <c r="A230" s="62"/>
      <c r="B230" s="11"/>
      <c r="C230" s="11"/>
      <c r="D230" s="11"/>
      <c r="E230" s="11"/>
      <c r="F230" s="1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1"/>
      <c r="S230" s="7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2"/>
    </row>
    <row r="231" spans="1:36" x14ac:dyDescent="0.3">
      <c r="A231" s="62"/>
      <c r="B231" s="11"/>
      <c r="C231" s="11"/>
      <c r="D231" s="11"/>
      <c r="E231" s="11"/>
      <c r="F231" s="1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1"/>
      <c r="S231" s="7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2"/>
    </row>
    <row r="232" spans="1:36" x14ac:dyDescent="0.3">
      <c r="A232" s="62"/>
      <c r="B232" s="11"/>
      <c r="C232" s="11"/>
      <c r="D232" s="11"/>
      <c r="E232" s="11"/>
      <c r="F232" s="1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1"/>
      <c r="S232" s="7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2"/>
    </row>
    <row r="233" spans="1:36" x14ac:dyDescent="0.3">
      <c r="A233" s="62"/>
      <c r="B233" s="11"/>
      <c r="C233" s="11"/>
      <c r="D233" s="11"/>
      <c r="E233" s="11"/>
      <c r="F233" s="1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1"/>
      <c r="S233" s="7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2"/>
    </row>
    <row r="234" spans="1:36" x14ac:dyDescent="0.3">
      <c r="A234" s="62"/>
      <c r="B234" s="11"/>
      <c r="C234" s="11"/>
      <c r="D234" s="11"/>
      <c r="E234" s="11"/>
      <c r="F234" s="1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1"/>
      <c r="S234" s="7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2"/>
    </row>
    <row r="235" spans="1:36" x14ac:dyDescent="0.3">
      <c r="A235" s="62"/>
      <c r="B235" s="11"/>
      <c r="C235" s="11"/>
      <c r="D235" s="11"/>
      <c r="E235" s="11"/>
      <c r="F235" s="1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1"/>
      <c r="S235" s="7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2"/>
    </row>
    <row r="236" spans="1:36" x14ac:dyDescent="0.3">
      <c r="A236" s="62"/>
      <c r="B236" s="11"/>
      <c r="C236" s="11"/>
      <c r="D236" s="11"/>
      <c r="E236" s="11"/>
      <c r="F236" s="1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1"/>
      <c r="S236" s="7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2"/>
    </row>
    <row r="237" spans="1:36" x14ac:dyDescent="0.3">
      <c r="A237" s="62"/>
      <c r="B237" s="11"/>
      <c r="C237" s="11"/>
      <c r="D237" s="11"/>
      <c r="E237" s="11"/>
      <c r="F237" s="1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1"/>
      <c r="S237" s="7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2"/>
    </row>
    <row r="238" spans="1:36" x14ac:dyDescent="0.3">
      <c r="A238" s="62"/>
      <c r="B238" s="11"/>
      <c r="C238" s="11"/>
      <c r="D238" s="11"/>
      <c r="E238" s="11"/>
      <c r="F238" s="1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1"/>
      <c r="S238" s="7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2"/>
    </row>
    <row r="239" spans="1:36" x14ac:dyDescent="0.3">
      <c r="A239" s="62"/>
      <c r="B239" s="11"/>
      <c r="C239" s="11"/>
      <c r="D239" s="11"/>
      <c r="E239" s="11"/>
      <c r="F239" s="1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1"/>
      <c r="S239" s="7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2"/>
    </row>
    <row r="240" spans="1:36" x14ac:dyDescent="0.3">
      <c r="A240" s="62"/>
      <c r="B240" s="11"/>
      <c r="C240" s="11"/>
      <c r="D240" s="11"/>
      <c r="E240" s="11"/>
      <c r="F240" s="1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1"/>
      <c r="S240" s="7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2"/>
    </row>
    <row r="241" spans="1:36" x14ac:dyDescent="0.3">
      <c r="A241" s="62"/>
      <c r="B241" s="11"/>
      <c r="C241" s="11"/>
      <c r="D241" s="11"/>
      <c r="E241" s="11"/>
      <c r="F241" s="1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1"/>
      <c r="S241" s="7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2"/>
    </row>
    <row r="242" spans="1:36" x14ac:dyDescent="0.3">
      <c r="A242" s="62"/>
      <c r="B242" s="11"/>
      <c r="C242" s="11"/>
      <c r="D242" s="11"/>
      <c r="E242" s="11"/>
      <c r="F242" s="1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1"/>
      <c r="S242" s="7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2"/>
    </row>
    <row r="243" spans="1:36" x14ac:dyDescent="0.3">
      <c r="A243" s="62"/>
      <c r="B243" s="11"/>
      <c r="C243" s="11"/>
      <c r="D243" s="11"/>
      <c r="E243" s="11"/>
      <c r="F243" s="1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1"/>
      <c r="S243" s="7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2"/>
    </row>
    <row r="244" spans="1:36" x14ac:dyDescent="0.3">
      <c r="A244" s="62"/>
      <c r="B244" s="11"/>
      <c r="C244" s="11"/>
      <c r="D244" s="11"/>
      <c r="E244" s="11"/>
      <c r="F244" s="1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1"/>
      <c r="S244" s="7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2"/>
    </row>
    <row r="245" spans="1:36" x14ac:dyDescent="0.3">
      <c r="A245" s="62"/>
      <c r="B245" s="11"/>
      <c r="C245" s="11"/>
      <c r="D245" s="11"/>
      <c r="E245" s="11"/>
      <c r="F245" s="1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1"/>
      <c r="S245" s="7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2"/>
    </row>
    <row r="246" spans="1:36" x14ac:dyDescent="0.3">
      <c r="A246" s="62"/>
      <c r="B246" s="11"/>
      <c r="C246" s="11"/>
      <c r="D246" s="11"/>
      <c r="E246" s="11"/>
      <c r="F246" s="1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1"/>
      <c r="S246" s="7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2"/>
    </row>
    <row r="247" spans="1:36" x14ac:dyDescent="0.3">
      <c r="A247" s="62"/>
      <c r="B247" s="11"/>
      <c r="C247" s="11"/>
      <c r="D247" s="11"/>
      <c r="E247" s="11"/>
      <c r="F247" s="1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1"/>
      <c r="S247" s="7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2"/>
    </row>
    <row r="248" spans="1:36" x14ac:dyDescent="0.3">
      <c r="A248" s="62"/>
      <c r="B248" s="11"/>
      <c r="C248" s="11"/>
      <c r="D248" s="11"/>
      <c r="E248" s="11"/>
      <c r="F248" s="1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1"/>
      <c r="S248" s="7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2"/>
    </row>
    <row r="249" spans="1:36" x14ac:dyDescent="0.3">
      <c r="A249" s="62"/>
      <c r="B249" s="11"/>
      <c r="C249" s="11"/>
      <c r="D249" s="11"/>
      <c r="E249" s="11"/>
      <c r="F249" s="1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1"/>
      <c r="S249" s="7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2"/>
    </row>
    <row r="250" spans="1:36" x14ac:dyDescent="0.3">
      <c r="A250" s="62"/>
      <c r="B250" s="11"/>
      <c r="C250" s="11"/>
      <c r="D250" s="11"/>
      <c r="E250" s="11"/>
      <c r="F250" s="1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1"/>
      <c r="S250" s="7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2"/>
    </row>
    <row r="251" spans="1:36" x14ac:dyDescent="0.3">
      <c r="A251" s="62"/>
      <c r="B251" s="11"/>
      <c r="C251" s="11"/>
      <c r="D251" s="11"/>
      <c r="E251" s="11"/>
      <c r="F251" s="1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1"/>
      <c r="S251" s="7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2"/>
    </row>
    <row r="252" spans="1:36" x14ac:dyDescent="0.3">
      <c r="A252" s="62"/>
      <c r="B252" s="11"/>
      <c r="C252" s="11"/>
      <c r="D252" s="11"/>
      <c r="E252" s="11"/>
      <c r="F252" s="1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1"/>
      <c r="S252" s="7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2"/>
    </row>
    <row r="253" spans="1:36" x14ac:dyDescent="0.3">
      <c r="A253" s="62"/>
      <c r="B253" s="11"/>
      <c r="C253" s="11"/>
      <c r="D253" s="11"/>
      <c r="E253" s="11"/>
      <c r="F253" s="1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1"/>
      <c r="S253" s="7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2"/>
    </row>
    <row r="254" spans="1:36" x14ac:dyDescent="0.3">
      <c r="A254" s="62"/>
      <c r="B254" s="11"/>
      <c r="C254" s="11"/>
      <c r="D254" s="11"/>
      <c r="E254" s="11"/>
      <c r="F254" s="1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1"/>
      <c r="S254" s="7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2"/>
    </row>
    <row r="255" spans="1:36" x14ac:dyDescent="0.3">
      <c r="A255" s="62"/>
      <c r="B255" s="11"/>
      <c r="C255" s="11"/>
      <c r="D255" s="11"/>
      <c r="E255" s="11"/>
      <c r="F255" s="1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1"/>
      <c r="S255" s="7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2"/>
    </row>
    <row r="256" spans="1:36" x14ac:dyDescent="0.3">
      <c r="A256" s="62"/>
      <c r="B256" s="11"/>
      <c r="C256" s="11"/>
      <c r="D256" s="11"/>
      <c r="E256" s="11"/>
      <c r="F256" s="1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1"/>
      <c r="S256" s="7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2"/>
    </row>
    <row r="257" spans="1:36" x14ac:dyDescent="0.3">
      <c r="A257" s="62"/>
      <c r="B257" s="11"/>
      <c r="C257" s="11"/>
      <c r="D257" s="11"/>
      <c r="E257" s="11"/>
      <c r="F257" s="1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1"/>
      <c r="S257" s="7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2"/>
    </row>
    <row r="258" spans="1:36" x14ac:dyDescent="0.3">
      <c r="A258" s="62"/>
      <c r="B258" s="11"/>
      <c r="C258" s="11"/>
      <c r="D258" s="11"/>
      <c r="E258" s="11"/>
      <c r="F258" s="1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1"/>
      <c r="S258" s="7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2"/>
    </row>
    <row r="259" spans="1:36" x14ac:dyDescent="0.3">
      <c r="A259" s="62"/>
      <c r="B259" s="11"/>
      <c r="C259" s="11"/>
      <c r="D259" s="11"/>
      <c r="E259" s="11"/>
      <c r="F259" s="1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1"/>
      <c r="S259" s="7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2"/>
    </row>
    <row r="260" spans="1:36" x14ac:dyDescent="0.3">
      <c r="A260" s="62"/>
      <c r="B260" s="11"/>
      <c r="C260" s="11"/>
      <c r="D260" s="11"/>
      <c r="E260" s="11"/>
      <c r="F260" s="1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1"/>
      <c r="S260" s="7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2"/>
    </row>
    <row r="261" spans="1:36" x14ac:dyDescent="0.3">
      <c r="A261" s="62"/>
      <c r="B261" s="11"/>
      <c r="C261" s="11"/>
      <c r="D261" s="11"/>
      <c r="E261" s="11"/>
      <c r="F261" s="1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1"/>
      <c r="S261" s="7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2"/>
    </row>
    <row r="262" spans="1:36" x14ac:dyDescent="0.3">
      <c r="A262" s="62"/>
      <c r="B262" s="11"/>
      <c r="C262" s="11"/>
      <c r="D262" s="11"/>
      <c r="E262" s="11"/>
      <c r="F262" s="1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1"/>
      <c r="S262" s="7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2"/>
    </row>
    <row r="263" spans="1:36" x14ac:dyDescent="0.3">
      <c r="A263" s="62"/>
      <c r="B263" s="11"/>
      <c r="C263" s="11"/>
      <c r="D263" s="11"/>
      <c r="E263" s="11"/>
      <c r="F263" s="1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1"/>
      <c r="S263" s="7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2"/>
    </row>
    <row r="264" spans="1:36" x14ac:dyDescent="0.3">
      <c r="A264" s="62"/>
      <c r="B264" s="11"/>
      <c r="C264" s="11"/>
      <c r="D264" s="11"/>
      <c r="E264" s="11"/>
      <c r="F264" s="1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1"/>
      <c r="S264" s="7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2"/>
    </row>
    <row r="265" spans="1:36" x14ac:dyDescent="0.3">
      <c r="A265" s="62"/>
      <c r="B265" s="11"/>
      <c r="C265" s="11"/>
      <c r="D265" s="11"/>
      <c r="E265" s="11"/>
      <c r="F265" s="1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1"/>
      <c r="S265" s="7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2"/>
    </row>
    <row r="266" spans="1:36" x14ac:dyDescent="0.3">
      <c r="A266" s="62"/>
      <c r="B266" s="11"/>
      <c r="C266" s="11"/>
      <c r="D266" s="11"/>
      <c r="E266" s="11"/>
      <c r="F266" s="1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1"/>
      <c r="S266" s="7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2"/>
    </row>
    <row r="267" spans="1:36" x14ac:dyDescent="0.3">
      <c r="A267" s="62"/>
      <c r="B267" s="11"/>
      <c r="C267" s="11"/>
      <c r="D267" s="11"/>
      <c r="E267" s="11"/>
      <c r="F267" s="1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1"/>
      <c r="S267" s="7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2"/>
    </row>
    <row r="268" spans="1:36" x14ac:dyDescent="0.3">
      <c r="A268" s="62"/>
      <c r="B268" s="11"/>
      <c r="C268" s="11"/>
      <c r="D268" s="11"/>
      <c r="E268" s="11"/>
      <c r="F268" s="1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1"/>
      <c r="S268" s="7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2"/>
    </row>
    <row r="269" spans="1:36" x14ac:dyDescent="0.3">
      <c r="A269" s="62"/>
      <c r="B269" s="11"/>
      <c r="C269" s="11"/>
      <c r="D269" s="11"/>
      <c r="E269" s="11"/>
      <c r="F269" s="1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1"/>
      <c r="S269" s="7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2"/>
    </row>
    <row r="270" spans="1:36" x14ac:dyDescent="0.3">
      <c r="A270" s="62"/>
      <c r="B270" s="11"/>
      <c r="C270" s="11"/>
      <c r="D270" s="11"/>
      <c r="E270" s="11"/>
      <c r="F270" s="1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/>
      <c r="S270" s="7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2"/>
    </row>
    <row r="271" spans="1:36" x14ac:dyDescent="0.3">
      <c r="A271" s="62"/>
      <c r="B271" s="11"/>
      <c r="C271" s="11"/>
      <c r="D271" s="11"/>
      <c r="E271" s="11"/>
      <c r="F271" s="1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/>
      <c r="S271" s="7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2"/>
    </row>
    <row r="272" spans="1:36" x14ac:dyDescent="0.3">
      <c r="A272" s="62"/>
      <c r="B272" s="11"/>
      <c r="C272" s="11"/>
      <c r="D272" s="11"/>
      <c r="E272" s="11"/>
      <c r="F272" s="1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/>
      <c r="S272" s="7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2"/>
    </row>
    <row r="273" spans="1:36" x14ac:dyDescent="0.3">
      <c r="A273" s="62"/>
      <c r="B273" s="11"/>
      <c r="C273" s="11"/>
      <c r="D273" s="11"/>
      <c r="E273" s="11"/>
      <c r="F273" s="1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1"/>
      <c r="S273" s="7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2"/>
    </row>
    <row r="274" spans="1:36" x14ac:dyDescent="0.3">
      <c r="A274" s="62"/>
      <c r="B274" s="11"/>
      <c r="C274" s="11"/>
      <c r="D274" s="11"/>
      <c r="E274" s="11"/>
      <c r="F274" s="1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1"/>
      <c r="S274" s="7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2"/>
    </row>
    <row r="275" spans="1:36" x14ac:dyDescent="0.3">
      <c r="A275" s="62"/>
      <c r="B275" s="11"/>
      <c r="C275" s="11"/>
      <c r="D275" s="11"/>
      <c r="E275" s="11"/>
      <c r="F275" s="1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1"/>
      <c r="S275" s="7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2"/>
    </row>
    <row r="276" spans="1:36" x14ac:dyDescent="0.3">
      <c r="A276" s="62"/>
      <c r="B276" s="11"/>
      <c r="C276" s="11"/>
      <c r="D276" s="11"/>
      <c r="E276" s="11"/>
      <c r="F276" s="1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/>
      <c r="S276" s="7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2"/>
    </row>
    <row r="277" spans="1:36" x14ac:dyDescent="0.3">
      <c r="A277" s="62"/>
      <c r="B277" s="11"/>
      <c r="C277" s="11"/>
      <c r="D277" s="11"/>
      <c r="E277" s="11"/>
      <c r="F277" s="1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/>
      <c r="S277" s="7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2"/>
    </row>
    <row r="278" spans="1:36" x14ac:dyDescent="0.3">
      <c r="A278" s="62"/>
      <c r="B278" s="11"/>
      <c r="C278" s="11"/>
      <c r="D278" s="11"/>
      <c r="E278" s="11"/>
      <c r="F278" s="1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/>
      <c r="S278" s="7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2"/>
    </row>
    <row r="279" spans="1:36" x14ac:dyDescent="0.3">
      <c r="A279" s="62"/>
      <c r="B279" s="11"/>
      <c r="C279" s="11"/>
      <c r="D279" s="11"/>
      <c r="E279" s="11"/>
      <c r="F279" s="1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1"/>
      <c r="S279" s="7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2"/>
    </row>
    <row r="280" spans="1:36" x14ac:dyDescent="0.3">
      <c r="A280" s="62"/>
      <c r="B280" s="11"/>
      <c r="C280" s="11"/>
      <c r="D280" s="11"/>
      <c r="E280" s="11"/>
      <c r="F280" s="1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1"/>
      <c r="S280" s="7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2"/>
    </row>
    <row r="281" spans="1:36" x14ac:dyDescent="0.3">
      <c r="A281" s="62"/>
      <c r="B281" s="11"/>
      <c r="C281" s="11"/>
      <c r="D281" s="11"/>
      <c r="E281" s="11"/>
      <c r="F281" s="1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1"/>
      <c r="S281" s="7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2"/>
    </row>
    <row r="282" spans="1:36" x14ac:dyDescent="0.3">
      <c r="A282" s="62"/>
      <c r="B282" s="11"/>
      <c r="C282" s="11"/>
      <c r="D282" s="11"/>
      <c r="E282" s="11"/>
      <c r="F282" s="1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1"/>
      <c r="S282" s="7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2"/>
    </row>
    <row r="283" spans="1:36" x14ac:dyDescent="0.3">
      <c r="A283" s="62"/>
      <c r="B283" s="11"/>
      <c r="C283" s="11"/>
      <c r="D283" s="11"/>
      <c r="E283" s="11"/>
      <c r="F283" s="1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1"/>
      <c r="S283" s="7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2"/>
    </row>
    <row r="284" spans="1:36" x14ac:dyDescent="0.3">
      <c r="A284" s="62"/>
      <c r="B284" s="11"/>
      <c r="C284" s="11"/>
      <c r="D284" s="11"/>
      <c r="E284" s="11"/>
      <c r="F284" s="1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1"/>
      <c r="S284" s="7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2"/>
    </row>
    <row r="285" spans="1:36" x14ac:dyDescent="0.3">
      <c r="A285" s="62"/>
      <c r="B285" s="11"/>
      <c r="C285" s="11"/>
      <c r="D285" s="11"/>
      <c r="E285" s="11"/>
      <c r="F285" s="1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1"/>
      <c r="S285" s="7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2"/>
    </row>
    <row r="286" spans="1:36" x14ac:dyDescent="0.3">
      <c r="A286" s="62"/>
      <c r="B286" s="11"/>
      <c r="C286" s="11"/>
      <c r="D286" s="11"/>
      <c r="E286" s="11"/>
      <c r="F286" s="1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1"/>
      <c r="S286" s="7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2"/>
    </row>
    <row r="287" spans="1:36" x14ac:dyDescent="0.3">
      <c r="A287" s="62"/>
      <c r="B287" s="11"/>
      <c r="C287" s="11"/>
      <c r="D287" s="11"/>
      <c r="E287" s="11"/>
      <c r="F287" s="1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1"/>
      <c r="S287" s="7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2"/>
    </row>
    <row r="288" spans="1:36" x14ac:dyDescent="0.3">
      <c r="A288" s="62"/>
      <c r="B288" s="11"/>
      <c r="C288" s="11"/>
      <c r="D288" s="11"/>
      <c r="E288" s="11"/>
      <c r="F288" s="1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1"/>
      <c r="S288" s="7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2"/>
    </row>
    <row r="289" spans="1:36" x14ac:dyDescent="0.3">
      <c r="A289" s="62"/>
      <c r="B289" s="11"/>
      <c r="C289" s="11"/>
      <c r="D289" s="11"/>
      <c r="E289" s="11"/>
      <c r="F289" s="1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1"/>
      <c r="S289" s="7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2"/>
    </row>
    <row r="290" spans="1:36" x14ac:dyDescent="0.3">
      <c r="A290" s="62"/>
      <c r="B290" s="11"/>
      <c r="C290" s="11"/>
      <c r="D290" s="11"/>
      <c r="E290" s="11"/>
      <c r="F290" s="1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1"/>
      <c r="S290" s="7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2"/>
    </row>
    <row r="291" spans="1:36" x14ac:dyDescent="0.3">
      <c r="A291" s="62"/>
      <c r="B291" s="11"/>
      <c r="C291" s="11"/>
      <c r="D291" s="11"/>
      <c r="E291" s="11"/>
      <c r="F291" s="1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1"/>
      <c r="S291" s="7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2"/>
    </row>
    <row r="292" spans="1:36" x14ac:dyDescent="0.3">
      <c r="A292" s="62"/>
      <c r="B292" s="11"/>
      <c r="C292" s="11"/>
      <c r="D292" s="11"/>
      <c r="E292" s="11"/>
      <c r="F292" s="1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1"/>
      <c r="S292" s="7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2"/>
    </row>
    <row r="293" spans="1:36" x14ac:dyDescent="0.3">
      <c r="A293" s="62"/>
      <c r="B293" s="11"/>
      <c r="C293" s="11"/>
      <c r="D293" s="11"/>
      <c r="E293" s="11"/>
      <c r="F293" s="1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1"/>
      <c r="S293" s="7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2"/>
    </row>
    <row r="294" spans="1:36" x14ac:dyDescent="0.3">
      <c r="A294" s="62"/>
      <c r="B294" s="11"/>
      <c r="C294" s="11"/>
      <c r="D294" s="11"/>
      <c r="E294" s="11"/>
      <c r="F294" s="1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1"/>
      <c r="S294" s="7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2"/>
    </row>
    <row r="295" spans="1:36" x14ac:dyDescent="0.3">
      <c r="A295" s="62"/>
      <c r="B295" s="11"/>
      <c r="C295" s="11"/>
      <c r="D295" s="11"/>
      <c r="E295" s="11"/>
      <c r="F295" s="1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1"/>
      <c r="S295" s="7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2"/>
    </row>
    <row r="296" spans="1:36" x14ac:dyDescent="0.3">
      <c r="A296" s="62"/>
      <c r="B296" s="11"/>
      <c r="C296" s="11"/>
      <c r="D296" s="11"/>
      <c r="E296" s="11"/>
      <c r="F296" s="1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1"/>
      <c r="S296" s="7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2"/>
    </row>
    <row r="297" spans="1:36" x14ac:dyDescent="0.3">
      <c r="A297" s="62"/>
      <c r="B297" s="11"/>
      <c r="C297" s="11"/>
      <c r="D297" s="11"/>
      <c r="E297" s="11"/>
      <c r="F297" s="1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1"/>
      <c r="S297" s="7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2"/>
    </row>
    <row r="298" spans="1:36" x14ac:dyDescent="0.3">
      <c r="A298" s="62"/>
      <c r="B298" s="11"/>
      <c r="C298" s="11"/>
      <c r="D298" s="11"/>
      <c r="E298" s="11"/>
      <c r="F298" s="1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1"/>
      <c r="S298" s="7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2"/>
    </row>
    <row r="299" spans="1:36" x14ac:dyDescent="0.3">
      <c r="A299" s="62"/>
      <c r="B299" s="11"/>
      <c r="C299" s="11"/>
      <c r="D299" s="11"/>
      <c r="E299" s="11"/>
      <c r="F299" s="1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1"/>
      <c r="S299" s="7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2"/>
    </row>
    <row r="300" spans="1:36" x14ac:dyDescent="0.3">
      <c r="A300" s="62"/>
      <c r="B300" s="11"/>
      <c r="C300" s="11"/>
      <c r="D300" s="11"/>
      <c r="E300" s="11"/>
      <c r="F300" s="1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1"/>
      <c r="S300" s="7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2"/>
    </row>
    <row r="301" spans="1:36" x14ac:dyDescent="0.3">
      <c r="A301" s="62"/>
      <c r="B301" s="11"/>
      <c r="C301" s="11"/>
      <c r="D301" s="11"/>
      <c r="E301" s="11"/>
      <c r="F301" s="1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1"/>
      <c r="S301" s="7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2"/>
    </row>
    <row r="302" spans="1:36" x14ac:dyDescent="0.3">
      <c r="A302" s="62"/>
      <c r="B302" s="11"/>
      <c r="C302" s="11"/>
      <c r="D302" s="11"/>
      <c r="E302" s="11"/>
      <c r="F302" s="1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1"/>
      <c r="S302" s="7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2"/>
    </row>
    <row r="303" spans="1:36" x14ac:dyDescent="0.3">
      <c r="A303" s="62"/>
      <c r="B303" s="11"/>
      <c r="C303" s="11"/>
      <c r="D303" s="11"/>
      <c r="E303" s="11"/>
      <c r="F303" s="1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1"/>
      <c r="S303" s="7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2"/>
    </row>
    <row r="304" spans="1:36" x14ac:dyDescent="0.3">
      <c r="A304" s="62"/>
      <c r="B304" s="11"/>
      <c r="C304" s="11"/>
      <c r="D304" s="11"/>
      <c r="E304" s="11"/>
      <c r="F304" s="1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1"/>
      <c r="S304" s="7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2"/>
    </row>
    <row r="305" spans="1:36" x14ac:dyDescent="0.3">
      <c r="A305" s="62"/>
      <c r="B305" s="11"/>
      <c r="C305" s="11"/>
      <c r="D305" s="11"/>
      <c r="E305" s="11"/>
      <c r="F305" s="1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1"/>
      <c r="S305" s="7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2"/>
    </row>
    <row r="306" spans="1:36" x14ac:dyDescent="0.3">
      <c r="A306" s="62"/>
      <c r="B306" s="11"/>
      <c r="C306" s="11"/>
      <c r="D306" s="11"/>
      <c r="E306" s="11"/>
      <c r="F306" s="1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1"/>
      <c r="S306" s="7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2"/>
    </row>
    <row r="307" spans="1:36" x14ac:dyDescent="0.3">
      <c r="A307" s="62"/>
      <c r="B307" s="11"/>
      <c r="C307" s="11"/>
      <c r="D307" s="11"/>
      <c r="E307" s="11"/>
      <c r="F307" s="1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1"/>
      <c r="S307" s="7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2"/>
    </row>
    <row r="308" spans="1:36" x14ac:dyDescent="0.3">
      <c r="A308" s="62"/>
      <c r="B308" s="11"/>
      <c r="C308" s="11"/>
      <c r="D308" s="11"/>
      <c r="E308" s="11"/>
      <c r="F308" s="1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1"/>
      <c r="S308" s="7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2"/>
    </row>
    <row r="309" spans="1:36" x14ac:dyDescent="0.3">
      <c r="A309" s="62"/>
      <c r="B309" s="11"/>
      <c r="C309" s="11"/>
      <c r="D309" s="11"/>
      <c r="E309" s="11"/>
      <c r="F309" s="1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1"/>
      <c r="S309" s="7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2"/>
    </row>
    <row r="310" spans="1:36" x14ac:dyDescent="0.3">
      <c r="A310" s="62"/>
      <c r="B310" s="11"/>
      <c r="C310" s="11"/>
      <c r="D310" s="11"/>
      <c r="E310" s="11"/>
      <c r="F310" s="1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1"/>
      <c r="S310" s="7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2"/>
    </row>
    <row r="311" spans="1:36" x14ac:dyDescent="0.3">
      <c r="A311" s="62"/>
      <c r="B311" s="11"/>
      <c r="C311" s="11"/>
      <c r="D311" s="11"/>
      <c r="E311" s="11"/>
      <c r="F311" s="1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1"/>
      <c r="S311" s="7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2"/>
    </row>
    <row r="312" spans="1:36" x14ac:dyDescent="0.3">
      <c r="A312" s="62"/>
      <c r="B312" s="11"/>
      <c r="C312" s="11"/>
      <c r="D312" s="11"/>
      <c r="E312" s="11"/>
      <c r="F312" s="1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1"/>
      <c r="S312" s="7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2"/>
    </row>
    <row r="313" spans="1:36" x14ac:dyDescent="0.3">
      <c r="A313" s="62"/>
      <c r="B313" s="11"/>
      <c r="C313" s="11"/>
      <c r="D313" s="11"/>
      <c r="E313" s="11"/>
      <c r="F313" s="1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1"/>
      <c r="S313" s="7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2"/>
    </row>
    <row r="314" spans="1:36" x14ac:dyDescent="0.3">
      <c r="A314" s="62"/>
      <c r="B314" s="11"/>
      <c r="C314" s="11"/>
      <c r="D314" s="11"/>
      <c r="E314" s="11"/>
      <c r="F314" s="1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1"/>
      <c r="S314" s="7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2"/>
    </row>
    <row r="315" spans="1:36" x14ac:dyDescent="0.3">
      <c r="A315" s="62"/>
      <c r="B315" s="11"/>
      <c r="C315" s="11"/>
      <c r="D315" s="11"/>
      <c r="E315" s="11"/>
      <c r="F315" s="1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1"/>
      <c r="S315" s="7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2"/>
    </row>
    <row r="316" spans="1:36" x14ac:dyDescent="0.3">
      <c r="A316" s="62"/>
      <c r="B316" s="11"/>
      <c r="C316" s="11"/>
      <c r="D316" s="11"/>
      <c r="E316" s="11"/>
      <c r="F316" s="1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1"/>
      <c r="S316" s="7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2"/>
    </row>
    <row r="317" spans="1:36" x14ac:dyDescent="0.3">
      <c r="A317" s="62"/>
      <c r="B317" s="11"/>
      <c r="C317" s="11"/>
      <c r="D317" s="11"/>
      <c r="E317" s="11"/>
      <c r="F317" s="1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1"/>
      <c r="S317" s="7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2"/>
    </row>
    <row r="318" spans="1:36" x14ac:dyDescent="0.3">
      <c r="A318" s="62"/>
      <c r="B318" s="11"/>
      <c r="C318" s="11"/>
      <c r="D318" s="11"/>
      <c r="E318" s="11"/>
      <c r="F318" s="1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1"/>
      <c r="S318" s="7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2"/>
    </row>
    <row r="319" spans="1:36" x14ac:dyDescent="0.3">
      <c r="A319" s="62"/>
      <c r="B319" s="11"/>
      <c r="C319" s="11"/>
      <c r="D319" s="11"/>
      <c r="E319" s="11"/>
      <c r="F319" s="1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1"/>
      <c r="S319" s="7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2"/>
    </row>
    <row r="320" spans="1:36" x14ac:dyDescent="0.3">
      <c r="A320" s="62"/>
      <c r="B320" s="11"/>
      <c r="C320" s="11"/>
      <c r="D320" s="11"/>
      <c r="E320" s="11"/>
      <c r="F320" s="1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1"/>
      <c r="S320" s="7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2"/>
    </row>
    <row r="321" spans="1:36" x14ac:dyDescent="0.3">
      <c r="A321" s="62"/>
      <c r="B321" s="11"/>
      <c r="C321" s="11"/>
      <c r="D321" s="11"/>
      <c r="E321" s="11"/>
      <c r="F321" s="1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1"/>
      <c r="S321" s="7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2"/>
    </row>
    <row r="322" spans="1:36" x14ac:dyDescent="0.3">
      <c r="A322" s="62"/>
      <c r="B322" s="11"/>
      <c r="C322" s="11"/>
      <c r="D322" s="11"/>
      <c r="E322" s="11"/>
      <c r="F322" s="1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1"/>
      <c r="S322" s="7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2"/>
    </row>
    <row r="323" spans="1:36" x14ac:dyDescent="0.3">
      <c r="A323" s="62"/>
      <c r="B323" s="11"/>
      <c r="C323" s="11"/>
      <c r="D323" s="11"/>
      <c r="E323" s="11"/>
      <c r="F323" s="1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1"/>
      <c r="S323" s="7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2"/>
    </row>
    <row r="324" spans="1:36" x14ac:dyDescent="0.3">
      <c r="A324" s="62"/>
      <c r="B324" s="11"/>
      <c r="C324" s="11"/>
      <c r="D324" s="11"/>
      <c r="E324" s="11"/>
      <c r="F324" s="1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1"/>
      <c r="S324" s="7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2"/>
    </row>
    <row r="325" spans="1:36" x14ac:dyDescent="0.3">
      <c r="A325" s="62"/>
      <c r="B325" s="11"/>
      <c r="C325" s="11"/>
      <c r="D325" s="11"/>
      <c r="E325" s="11"/>
      <c r="F325" s="1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1"/>
      <c r="S325" s="7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2"/>
    </row>
    <row r="326" spans="1:36" x14ac:dyDescent="0.3">
      <c r="A326" s="62"/>
      <c r="B326" s="11"/>
      <c r="C326" s="11"/>
      <c r="D326" s="11"/>
      <c r="E326" s="11"/>
      <c r="F326" s="1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1"/>
      <c r="S326" s="7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2"/>
    </row>
    <row r="327" spans="1:36" x14ac:dyDescent="0.3">
      <c r="A327" s="62"/>
      <c r="B327" s="11"/>
      <c r="C327" s="11"/>
      <c r="D327" s="11"/>
      <c r="E327" s="11"/>
      <c r="F327" s="1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1"/>
      <c r="S327" s="7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2"/>
    </row>
    <row r="328" spans="1:36" x14ac:dyDescent="0.3">
      <c r="A328" s="62"/>
      <c r="B328" s="11"/>
      <c r="C328" s="11"/>
      <c r="D328" s="11"/>
      <c r="E328" s="11"/>
      <c r="F328" s="1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1"/>
      <c r="S328" s="7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2"/>
    </row>
    <row r="329" spans="1:36" x14ac:dyDescent="0.3">
      <c r="A329" s="62"/>
      <c r="B329" s="11"/>
      <c r="C329" s="11"/>
      <c r="D329" s="11"/>
      <c r="E329" s="11"/>
      <c r="F329" s="1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1"/>
      <c r="S329" s="7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2"/>
    </row>
    <row r="330" spans="1:36" x14ac:dyDescent="0.3">
      <c r="A330" s="62"/>
      <c r="B330" s="11"/>
      <c r="C330" s="11"/>
      <c r="D330" s="11"/>
      <c r="E330" s="11"/>
      <c r="F330" s="1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1"/>
      <c r="S330" s="7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2"/>
    </row>
    <row r="331" spans="1:36" x14ac:dyDescent="0.3">
      <c r="A331" s="62"/>
      <c r="B331" s="11"/>
      <c r="C331" s="11"/>
      <c r="D331" s="11"/>
      <c r="E331" s="11"/>
      <c r="F331" s="1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1"/>
      <c r="S331" s="7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2"/>
    </row>
    <row r="332" spans="1:36" x14ac:dyDescent="0.3">
      <c r="A332" s="62"/>
      <c r="B332" s="11"/>
      <c r="C332" s="11"/>
      <c r="D332" s="11"/>
      <c r="E332" s="11"/>
      <c r="F332" s="1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1"/>
      <c r="S332" s="7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2"/>
    </row>
    <row r="333" spans="1:36" x14ac:dyDescent="0.3">
      <c r="A333" s="62"/>
      <c r="B333" s="11"/>
      <c r="C333" s="11"/>
      <c r="D333" s="11"/>
      <c r="E333" s="11"/>
      <c r="F333" s="1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1"/>
      <c r="S333" s="7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2"/>
    </row>
    <row r="334" spans="1:36" x14ac:dyDescent="0.3">
      <c r="A334" s="62"/>
      <c r="B334" s="11"/>
      <c r="C334" s="11"/>
      <c r="D334" s="11"/>
      <c r="E334" s="11"/>
      <c r="F334" s="1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1"/>
      <c r="S334" s="7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2"/>
    </row>
    <row r="335" spans="1:36" x14ac:dyDescent="0.3">
      <c r="A335" s="62"/>
      <c r="B335" s="11"/>
      <c r="C335" s="11"/>
      <c r="D335" s="11"/>
      <c r="E335" s="11"/>
      <c r="F335" s="1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1"/>
      <c r="S335" s="7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2"/>
    </row>
    <row r="336" spans="1:36" x14ac:dyDescent="0.3">
      <c r="A336" s="62"/>
      <c r="B336" s="11"/>
      <c r="C336" s="11"/>
      <c r="D336" s="11"/>
      <c r="E336" s="11"/>
      <c r="F336" s="1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1"/>
      <c r="S336" s="7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2"/>
    </row>
    <row r="337" spans="1:36" x14ac:dyDescent="0.3">
      <c r="A337" s="62"/>
      <c r="B337" s="11"/>
      <c r="C337" s="11"/>
      <c r="D337" s="11"/>
      <c r="E337" s="11"/>
      <c r="F337" s="1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1"/>
      <c r="S337" s="7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2"/>
    </row>
    <row r="338" spans="1:36" x14ac:dyDescent="0.3">
      <c r="A338" s="62"/>
      <c r="B338" s="11"/>
      <c r="C338" s="11"/>
      <c r="D338" s="11"/>
      <c r="E338" s="11"/>
      <c r="F338" s="1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1"/>
      <c r="S338" s="7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2"/>
    </row>
    <row r="339" spans="1:36" x14ac:dyDescent="0.3">
      <c r="A339" s="62"/>
      <c r="B339" s="11"/>
      <c r="C339" s="11"/>
      <c r="D339" s="11"/>
      <c r="E339" s="11"/>
      <c r="F339" s="1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1"/>
      <c r="S339" s="7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2"/>
    </row>
    <row r="340" spans="1:36" x14ac:dyDescent="0.3">
      <c r="A340" s="62"/>
      <c r="B340" s="11"/>
      <c r="C340" s="11"/>
      <c r="D340" s="11"/>
      <c r="E340" s="11"/>
      <c r="F340" s="1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1"/>
      <c r="S340" s="7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2"/>
    </row>
    <row r="341" spans="1:36" x14ac:dyDescent="0.3">
      <c r="A341" s="62"/>
      <c r="B341" s="11"/>
      <c r="C341" s="11"/>
      <c r="D341" s="11"/>
      <c r="E341" s="11"/>
      <c r="F341" s="1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1"/>
      <c r="S341" s="7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2"/>
    </row>
    <row r="342" spans="1:36" x14ac:dyDescent="0.3">
      <c r="A342" s="62"/>
      <c r="B342" s="11"/>
      <c r="C342" s="11"/>
      <c r="D342" s="11"/>
      <c r="E342" s="11"/>
      <c r="F342" s="1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1"/>
      <c r="S342" s="7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2"/>
    </row>
    <row r="343" spans="1:36" x14ac:dyDescent="0.3">
      <c r="A343" s="62"/>
      <c r="B343" s="11"/>
      <c r="C343" s="11"/>
      <c r="D343" s="11"/>
      <c r="E343" s="11"/>
      <c r="F343" s="1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1"/>
      <c r="S343" s="7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2"/>
    </row>
    <row r="344" spans="1:36" x14ac:dyDescent="0.3">
      <c r="A344" s="62"/>
      <c r="B344" s="11"/>
      <c r="C344" s="11"/>
      <c r="D344" s="11"/>
      <c r="E344" s="11"/>
      <c r="F344" s="1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1"/>
      <c r="S344" s="7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2"/>
    </row>
    <row r="345" spans="1:36" x14ac:dyDescent="0.3">
      <c r="A345" s="62"/>
      <c r="B345" s="11"/>
      <c r="C345" s="11"/>
      <c r="D345" s="11"/>
      <c r="E345" s="11"/>
      <c r="F345" s="1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1"/>
      <c r="S345" s="7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2"/>
    </row>
    <row r="346" spans="1:36" x14ac:dyDescent="0.3">
      <c r="A346" s="62"/>
      <c r="B346" s="11"/>
      <c r="C346" s="11"/>
      <c r="D346" s="11"/>
      <c r="E346" s="11"/>
      <c r="F346" s="1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1"/>
      <c r="S346" s="7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2"/>
    </row>
    <row r="347" spans="1:36" x14ac:dyDescent="0.3">
      <c r="A347" s="62"/>
      <c r="B347" s="11"/>
      <c r="C347" s="11"/>
      <c r="D347" s="11"/>
      <c r="E347" s="11"/>
      <c r="F347" s="1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1"/>
      <c r="S347" s="7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2"/>
    </row>
    <row r="348" spans="1:36" x14ac:dyDescent="0.3">
      <c r="A348" s="62"/>
      <c r="B348" s="11"/>
      <c r="C348" s="11"/>
      <c r="D348" s="11"/>
      <c r="E348" s="11"/>
      <c r="F348" s="1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1"/>
      <c r="S348" s="7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2"/>
    </row>
    <row r="349" spans="1:36" x14ac:dyDescent="0.3">
      <c r="A349" s="62"/>
      <c r="B349" s="11"/>
      <c r="C349" s="11"/>
      <c r="D349" s="11"/>
      <c r="E349" s="11"/>
      <c r="F349" s="1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1"/>
      <c r="S349" s="7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2"/>
    </row>
    <row r="350" spans="1:36" x14ac:dyDescent="0.3">
      <c r="A350" s="62"/>
      <c r="B350" s="11"/>
      <c r="C350" s="11"/>
      <c r="D350" s="11"/>
      <c r="E350" s="11"/>
      <c r="F350" s="1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1"/>
      <c r="S350" s="7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2"/>
    </row>
    <row r="351" spans="1:36" x14ac:dyDescent="0.3">
      <c r="A351" s="62"/>
      <c r="B351" s="11"/>
      <c r="C351" s="11"/>
      <c r="D351" s="11"/>
      <c r="E351" s="11"/>
      <c r="F351" s="1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1"/>
      <c r="S351" s="7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2"/>
    </row>
    <row r="352" spans="1:36" x14ac:dyDescent="0.3">
      <c r="A352" s="62"/>
      <c r="B352" s="11"/>
      <c r="C352" s="11"/>
      <c r="D352" s="11"/>
      <c r="E352" s="11"/>
      <c r="F352" s="1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1"/>
      <c r="S352" s="7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2"/>
    </row>
    <row r="353" spans="1:36" x14ac:dyDescent="0.3">
      <c r="A353" s="62"/>
      <c r="B353" s="11"/>
      <c r="C353" s="11"/>
      <c r="D353" s="11"/>
      <c r="E353" s="11"/>
      <c r="F353" s="1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1"/>
      <c r="S353" s="7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2"/>
    </row>
    <row r="354" spans="1:36" x14ac:dyDescent="0.3">
      <c r="A354" s="62"/>
      <c r="B354" s="11"/>
      <c r="C354" s="11"/>
      <c r="D354" s="11"/>
      <c r="E354" s="11"/>
      <c r="F354" s="1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1"/>
      <c r="S354" s="7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2"/>
    </row>
    <row r="355" spans="1:36" x14ac:dyDescent="0.3">
      <c r="A355" s="62"/>
      <c r="B355" s="11"/>
      <c r="C355" s="11"/>
      <c r="D355" s="11"/>
      <c r="E355" s="11"/>
      <c r="F355" s="1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1"/>
      <c r="S355" s="7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2"/>
    </row>
    <row r="356" spans="1:36" x14ac:dyDescent="0.3">
      <c r="A356" s="62"/>
      <c r="B356" s="11"/>
      <c r="C356" s="11"/>
      <c r="D356" s="11"/>
      <c r="E356" s="11"/>
      <c r="F356" s="1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1"/>
      <c r="S356" s="7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2"/>
    </row>
    <row r="357" spans="1:36" x14ac:dyDescent="0.3">
      <c r="A357" s="62"/>
      <c r="B357" s="11"/>
      <c r="C357" s="11"/>
      <c r="D357" s="11"/>
      <c r="E357" s="11"/>
      <c r="F357" s="1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1"/>
      <c r="S357" s="7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2"/>
    </row>
    <row r="358" spans="1:36" x14ac:dyDescent="0.3">
      <c r="A358" s="62"/>
      <c r="B358" s="11"/>
      <c r="C358" s="11"/>
      <c r="D358" s="11"/>
      <c r="E358" s="11"/>
      <c r="F358" s="1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1"/>
      <c r="S358" s="7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2"/>
    </row>
    <row r="359" spans="1:36" x14ac:dyDescent="0.3">
      <c r="A359" s="62"/>
      <c r="B359" s="11"/>
      <c r="C359" s="11"/>
      <c r="D359" s="11"/>
      <c r="E359" s="11"/>
      <c r="F359" s="1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1"/>
      <c r="S359" s="7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2"/>
    </row>
    <row r="360" spans="1:36" x14ac:dyDescent="0.3">
      <c r="A360" s="62"/>
      <c r="B360" s="11"/>
      <c r="C360" s="11"/>
      <c r="D360" s="11"/>
      <c r="E360" s="11"/>
      <c r="F360" s="1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1"/>
      <c r="S360" s="7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2"/>
    </row>
    <row r="361" spans="1:36" x14ac:dyDescent="0.3">
      <c r="A361" s="62"/>
      <c r="B361" s="11"/>
      <c r="C361" s="11"/>
      <c r="D361" s="11"/>
      <c r="E361" s="11"/>
      <c r="F361" s="1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1"/>
      <c r="S361" s="7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2"/>
    </row>
    <row r="362" spans="1:36" x14ac:dyDescent="0.3">
      <c r="A362" s="62"/>
      <c r="B362" s="11"/>
      <c r="C362" s="11"/>
      <c r="D362" s="11"/>
      <c r="E362" s="11"/>
      <c r="F362" s="1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1"/>
      <c r="S362" s="7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2"/>
    </row>
    <row r="363" spans="1:36" x14ac:dyDescent="0.3">
      <c r="A363" s="62"/>
      <c r="B363" s="11"/>
      <c r="C363" s="11"/>
      <c r="D363" s="11"/>
      <c r="E363" s="11"/>
      <c r="F363" s="1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1"/>
      <c r="S363" s="7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2"/>
    </row>
    <row r="364" spans="1:36" x14ac:dyDescent="0.3">
      <c r="A364" s="62"/>
      <c r="B364" s="11"/>
      <c r="C364" s="11"/>
      <c r="D364" s="11"/>
      <c r="E364" s="11"/>
      <c r="F364" s="1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1"/>
      <c r="S364" s="7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2"/>
    </row>
    <row r="365" spans="1:36" x14ac:dyDescent="0.3">
      <c r="A365" s="62"/>
      <c r="B365" s="11"/>
      <c r="C365" s="11"/>
      <c r="D365" s="11"/>
      <c r="E365" s="11"/>
      <c r="F365" s="1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1"/>
      <c r="S365" s="7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2"/>
    </row>
    <row r="366" spans="1:36" x14ac:dyDescent="0.3">
      <c r="A366" s="62"/>
      <c r="B366" s="11"/>
      <c r="C366" s="11"/>
      <c r="D366" s="11"/>
      <c r="E366" s="11"/>
      <c r="F366" s="1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1"/>
      <c r="S366" s="7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2"/>
    </row>
    <row r="367" spans="1:36" x14ac:dyDescent="0.3">
      <c r="A367" s="62"/>
      <c r="B367" s="11"/>
      <c r="C367" s="11"/>
      <c r="D367" s="11"/>
      <c r="E367" s="11"/>
      <c r="F367" s="1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1"/>
      <c r="S367" s="7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2"/>
    </row>
    <row r="368" spans="1:36" x14ac:dyDescent="0.3">
      <c r="A368" s="62"/>
      <c r="B368" s="11"/>
      <c r="C368" s="11"/>
      <c r="D368" s="11"/>
      <c r="E368" s="11"/>
      <c r="F368" s="1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1"/>
      <c r="S368" s="7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2"/>
    </row>
    <row r="369" spans="1:36" x14ac:dyDescent="0.3">
      <c r="A369" s="62"/>
      <c r="B369" s="11"/>
      <c r="C369" s="11"/>
      <c r="D369" s="11"/>
      <c r="E369" s="11"/>
      <c r="F369" s="1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1"/>
      <c r="S369" s="7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2"/>
    </row>
    <row r="370" spans="1:36" x14ac:dyDescent="0.3">
      <c r="A370" s="62"/>
      <c r="B370" s="11"/>
      <c r="C370" s="11"/>
      <c r="D370" s="11"/>
      <c r="E370" s="11"/>
      <c r="F370" s="1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1"/>
      <c r="S370" s="7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2"/>
    </row>
    <row r="371" spans="1:36" x14ac:dyDescent="0.3">
      <c r="A371" s="62"/>
      <c r="B371" s="11"/>
      <c r="C371" s="11"/>
      <c r="D371" s="11"/>
      <c r="E371" s="11"/>
      <c r="F371" s="1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1"/>
      <c r="S371" s="7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2"/>
    </row>
    <row r="372" spans="1:36" x14ac:dyDescent="0.3">
      <c r="A372" s="62"/>
      <c r="B372" s="11"/>
      <c r="C372" s="11"/>
      <c r="D372" s="11"/>
      <c r="E372" s="11"/>
      <c r="F372" s="1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1"/>
      <c r="S372" s="7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2"/>
    </row>
    <row r="373" spans="1:36" x14ac:dyDescent="0.3">
      <c r="A373" s="62"/>
      <c r="B373" s="11"/>
      <c r="C373" s="11"/>
      <c r="D373" s="11"/>
      <c r="E373" s="11"/>
      <c r="F373" s="1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1"/>
      <c r="S373" s="7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2"/>
    </row>
    <row r="374" spans="1:36" x14ac:dyDescent="0.3">
      <c r="A374" s="62"/>
      <c r="B374" s="11"/>
      <c r="C374" s="11"/>
      <c r="D374" s="11"/>
      <c r="E374" s="11"/>
      <c r="F374" s="1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1"/>
      <c r="S374" s="7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2"/>
    </row>
    <row r="375" spans="1:36" x14ac:dyDescent="0.3">
      <c r="A375" s="62"/>
      <c r="B375" s="11"/>
      <c r="C375" s="11"/>
      <c r="D375" s="11"/>
      <c r="E375" s="11"/>
      <c r="F375" s="1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1"/>
      <c r="S375" s="7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2"/>
    </row>
    <row r="376" spans="1:36" x14ac:dyDescent="0.3">
      <c r="A376" s="62"/>
      <c r="B376" s="11"/>
      <c r="C376" s="11"/>
      <c r="D376" s="11"/>
      <c r="E376" s="11"/>
      <c r="F376" s="1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1"/>
      <c r="S376" s="7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2"/>
    </row>
    <row r="377" spans="1:36" x14ac:dyDescent="0.3">
      <c r="A377" s="62"/>
      <c r="B377" s="11"/>
      <c r="C377" s="11"/>
      <c r="D377" s="11"/>
      <c r="E377" s="11"/>
      <c r="F377" s="1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1"/>
      <c r="S377" s="7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2"/>
    </row>
    <row r="378" spans="1:36" x14ac:dyDescent="0.3">
      <c r="A378" s="62"/>
      <c r="B378" s="11"/>
      <c r="C378" s="11"/>
      <c r="D378" s="11"/>
      <c r="E378" s="11"/>
      <c r="F378" s="1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1"/>
      <c r="S378" s="7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2"/>
    </row>
    <row r="379" spans="1:36" x14ac:dyDescent="0.3">
      <c r="A379" s="62"/>
      <c r="B379" s="11"/>
      <c r="C379" s="11"/>
      <c r="D379" s="11"/>
      <c r="E379" s="11"/>
      <c r="F379" s="1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1"/>
      <c r="S379" s="7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2"/>
    </row>
    <row r="380" spans="1:36" x14ac:dyDescent="0.3">
      <c r="A380" s="62"/>
      <c r="B380" s="11"/>
      <c r="C380" s="11"/>
      <c r="D380" s="11"/>
      <c r="E380" s="11"/>
      <c r="F380" s="1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1"/>
      <c r="S380" s="7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2"/>
    </row>
    <row r="381" spans="1:36" x14ac:dyDescent="0.3">
      <c r="A381" s="62"/>
      <c r="B381" s="11"/>
      <c r="C381" s="11"/>
      <c r="D381" s="11"/>
      <c r="E381" s="11"/>
      <c r="F381" s="1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1"/>
      <c r="S381" s="7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2"/>
    </row>
    <row r="382" spans="1:36" x14ac:dyDescent="0.3">
      <c r="A382" s="62"/>
      <c r="B382" s="11"/>
      <c r="C382" s="11"/>
      <c r="D382" s="11"/>
      <c r="E382" s="11"/>
      <c r="F382" s="1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1"/>
      <c r="S382" s="7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2"/>
    </row>
    <row r="383" spans="1:36" x14ac:dyDescent="0.3">
      <c r="A383" s="62"/>
      <c r="B383" s="11"/>
      <c r="C383" s="11"/>
      <c r="D383" s="11"/>
      <c r="E383" s="11"/>
      <c r="F383" s="1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1"/>
      <c r="S383" s="7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2"/>
    </row>
    <row r="384" spans="1:36" x14ac:dyDescent="0.3">
      <c r="A384" s="62"/>
      <c r="B384" s="11"/>
      <c r="C384" s="11"/>
      <c r="D384" s="11"/>
      <c r="E384" s="11"/>
      <c r="F384" s="1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1"/>
      <c r="S384" s="7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2"/>
    </row>
    <row r="385" spans="1:36" x14ac:dyDescent="0.3">
      <c r="A385" s="62"/>
      <c r="B385" s="11"/>
      <c r="C385" s="11"/>
      <c r="D385" s="11"/>
      <c r="E385" s="11"/>
      <c r="F385" s="1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1"/>
      <c r="S385" s="7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2"/>
    </row>
    <row r="386" spans="1:36" x14ac:dyDescent="0.3">
      <c r="A386" s="62"/>
      <c r="B386" s="11"/>
      <c r="C386" s="11"/>
      <c r="D386" s="11"/>
      <c r="E386" s="11"/>
      <c r="F386" s="1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1"/>
      <c r="S386" s="7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2"/>
    </row>
    <row r="387" spans="1:36" x14ac:dyDescent="0.3">
      <c r="A387" s="62"/>
      <c r="B387" s="11"/>
      <c r="C387" s="11"/>
      <c r="D387" s="11"/>
      <c r="E387" s="11"/>
      <c r="F387" s="1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1"/>
      <c r="S387" s="7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2"/>
    </row>
    <row r="388" spans="1:36" x14ac:dyDescent="0.3">
      <c r="A388" s="62"/>
      <c r="B388" s="11"/>
      <c r="C388" s="11"/>
      <c r="D388" s="11"/>
      <c r="E388" s="11"/>
      <c r="F388" s="1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1"/>
      <c r="S388" s="7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2"/>
    </row>
    <row r="389" spans="1:36" x14ac:dyDescent="0.3">
      <c r="A389" s="62"/>
      <c r="B389" s="11"/>
      <c r="C389" s="11"/>
      <c r="D389" s="11"/>
      <c r="E389" s="11"/>
      <c r="F389" s="1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1"/>
      <c r="S389" s="7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2"/>
    </row>
    <row r="390" spans="1:36" x14ac:dyDescent="0.3">
      <c r="A390" s="62"/>
      <c r="B390" s="11"/>
      <c r="C390" s="11"/>
      <c r="D390" s="11"/>
      <c r="E390" s="11"/>
      <c r="F390" s="1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1"/>
      <c r="S390" s="7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2"/>
    </row>
    <row r="391" spans="1:36" x14ac:dyDescent="0.3">
      <c r="A391" s="62"/>
      <c r="B391" s="11"/>
      <c r="C391" s="11"/>
      <c r="D391" s="11"/>
      <c r="E391" s="11"/>
      <c r="F391" s="1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1"/>
      <c r="S391" s="7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2"/>
    </row>
    <row r="392" spans="1:36" x14ac:dyDescent="0.3">
      <c r="A392" s="62"/>
      <c r="B392" s="11"/>
      <c r="C392" s="11"/>
      <c r="D392" s="11"/>
      <c r="E392" s="11"/>
      <c r="F392" s="1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1"/>
      <c r="S392" s="7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2"/>
    </row>
    <row r="393" spans="1:36" x14ac:dyDescent="0.3">
      <c r="A393" s="62"/>
      <c r="B393" s="11"/>
      <c r="C393" s="11"/>
      <c r="D393" s="11"/>
      <c r="E393" s="11"/>
      <c r="F393" s="1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1"/>
      <c r="S393" s="7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2"/>
    </row>
    <row r="394" spans="1:36" x14ac:dyDescent="0.3">
      <c r="A394" s="62"/>
      <c r="B394" s="11"/>
      <c r="C394" s="11"/>
      <c r="D394" s="11"/>
      <c r="E394" s="11"/>
      <c r="F394" s="1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1"/>
      <c r="S394" s="7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2"/>
    </row>
    <row r="395" spans="1:36" x14ac:dyDescent="0.3">
      <c r="A395" s="62"/>
      <c r="B395" s="11"/>
      <c r="C395" s="11"/>
      <c r="D395" s="11"/>
      <c r="E395" s="11"/>
      <c r="F395" s="1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1"/>
      <c r="S395" s="7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2"/>
    </row>
    <row r="396" spans="1:36" x14ac:dyDescent="0.3">
      <c r="A396" s="62"/>
      <c r="B396" s="11"/>
      <c r="C396" s="11"/>
      <c r="D396" s="11"/>
      <c r="E396" s="11"/>
      <c r="F396" s="1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1"/>
      <c r="S396" s="7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2"/>
    </row>
    <row r="397" spans="1:36" x14ac:dyDescent="0.3">
      <c r="A397" s="62"/>
      <c r="B397" s="11"/>
      <c r="C397" s="11"/>
      <c r="D397" s="11"/>
      <c r="E397" s="11"/>
      <c r="F397" s="1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1"/>
      <c r="S397" s="7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2"/>
    </row>
    <row r="398" spans="1:36" x14ac:dyDescent="0.3">
      <c r="A398" s="62"/>
      <c r="B398" s="11"/>
      <c r="C398" s="11"/>
      <c r="D398" s="11"/>
      <c r="E398" s="11"/>
      <c r="F398" s="1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1"/>
      <c r="S398" s="7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2"/>
    </row>
    <row r="399" spans="1:36" x14ac:dyDescent="0.3">
      <c r="A399" s="62"/>
      <c r="B399" s="11"/>
      <c r="C399" s="11"/>
      <c r="D399" s="11"/>
      <c r="E399" s="11"/>
      <c r="F399" s="1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1"/>
      <c r="S399" s="7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2"/>
    </row>
    <row r="400" spans="1:36" x14ac:dyDescent="0.3">
      <c r="A400" s="62"/>
      <c r="B400" s="11"/>
      <c r="C400" s="11"/>
      <c r="D400" s="11"/>
      <c r="E400" s="11"/>
      <c r="F400" s="1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1"/>
      <c r="S400" s="7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2"/>
    </row>
    <row r="401" spans="1:36" x14ac:dyDescent="0.3">
      <c r="A401" s="62"/>
      <c r="B401" s="11"/>
      <c r="C401" s="11"/>
      <c r="D401" s="11"/>
      <c r="E401" s="11"/>
      <c r="F401" s="1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1"/>
      <c r="S401" s="7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2"/>
    </row>
    <row r="402" spans="1:36" x14ac:dyDescent="0.3">
      <c r="A402" s="62"/>
      <c r="B402" s="11"/>
      <c r="C402" s="11"/>
      <c r="D402" s="11"/>
      <c r="E402" s="11"/>
      <c r="F402" s="1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1"/>
      <c r="S402" s="7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2"/>
    </row>
    <row r="403" spans="1:36" x14ac:dyDescent="0.3">
      <c r="A403" s="62"/>
      <c r="B403" s="11"/>
      <c r="C403" s="11"/>
      <c r="D403" s="11"/>
      <c r="E403" s="11"/>
      <c r="F403" s="1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1"/>
      <c r="S403" s="7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2"/>
    </row>
    <row r="404" spans="1:36" x14ac:dyDescent="0.3">
      <c r="A404" s="62"/>
      <c r="B404" s="11"/>
      <c r="C404" s="11"/>
      <c r="D404" s="11"/>
      <c r="E404" s="11"/>
      <c r="F404" s="1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1"/>
      <c r="S404" s="7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2"/>
    </row>
    <row r="405" spans="1:36" x14ac:dyDescent="0.3">
      <c r="A405" s="62"/>
      <c r="B405" s="11"/>
      <c r="C405" s="11"/>
      <c r="D405" s="11"/>
      <c r="E405" s="11"/>
      <c r="F405" s="1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1"/>
      <c r="S405" s="7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2"/>
    </row>
    <row r="406" spans="1:36" x14ac:dyDescent="0.3">
      <c r="A406" s="62"/>
      <c r="B406" s="11"/>
      <c r="C406" s="11"/>
      <c r="D406" s="11"/>
      <c r="E406" s="11"/>
      <c r="F406" s="1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1"/>
      <c r="S406" s="7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2"/>
    </row>
    <row r="407" spans="1:36" x14ac:dyDescent="0.3">
      <c r="A407" s="62"/>
      <c r="B407" s="11"/>
      <c r="C407" s="11"/>
      <c r="D407" s="11"/>
      <c r="E407" s="11"/>
      <c r="F407" s="1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1"/>
      <c r="S407" s="7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2"/>
    </row>
    <row r="408" spans="1:36" x14ac:dyDescent="0.3">
      <c r="A408" s="62"/>
      <c r="B408" s="11"/>
      <c r="C408" s="11"/>
      <c r="D408" s="11"/>
      <c r="E408" s="11"/>
      <c r="F408" s="1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1"/>
      <c r="S408" s="7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2"/>
    </row>
    <row r="409" spans="1:36" x14ac:dyDescent="0.3">
      <c r="A409" s="62"/>
      <c r="B409" s="11"/>
      <c r="C409" s="11"/>
      <c r="D409" s="11"/>
      <c r="E409" s="11"/>
      <c r="F409" s="1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1"/>
      <c r="S409" s="7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2"/>
    </row>
    <row r="410" spans="1:36" x14ac:dyDescent="0.3">
      <c r="A410" s="62"/>
      <c r="B410" s="11"/>
      <c r="C410" s="11"/>
      <c r="D410" s="11"/>
      <c r="E410" s="11"/>
      <c r="F410" s="1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1"/>
      <c r="S410" s="7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2"/>
    </row>
    <row r="411" spans="1:36" x14ac:dyDescent="0.3">
      <c r="A411" s="62"/>
      <c r="B411" s="11"/>
      <c r="C411" s="11"/>
      <c r="D411" s="11"/>
      <c r="E411" s="11"/>
      <c r="F411" s="1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1"/>
      <c r="S411" s="7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2"/>
    </row>
    <row r="412" spans="1:36" x14ac:dyDescent="0.3">
      <c r="A412" s="62"/>
      <c r="B412" s="11"/>
      <c r="C412" s="11"/>
      <c r="D412" s="11"/>
      <c r="E412" s="11"/>
      <c r="F412" s="1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1"/>
      <c r="S412" s="7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2"/>
    </row>
    <row r="413" spans="1:36" x14ac:dyDescent="0.3">
      <c r="A413" s="62"/>
      <c r="B413" s="11"/>
      <c r="C413" s="11"/>
      <c r="D413" s="11"/>
      <c r="E413" s="11"/>
      <c r="F413" s="1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1"/>
      <c r="S413" s="7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2"/>
    </row>
    <row r="414" spans="1:36" x14ac:dyDescent="0.3">
      <c r="A414" s="62"/>
      <c r="B414" s="11"/>
      <c r="C414" s="11"/>
      <c r="D414" s="11"/>
      <c r="E414" s="11"/>
      <c r="F414" s="1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1"/>
      <c r="S414" s="7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2"/>
    </row>
    <row r="415" spans="1:36" x14ac:dyDescent="0.3">
      <c r="A415" s="62"/>
      <c r="B415" s="11"/>
      <c r="C415" s="11"/>
      <c r="D415" s="11"/>
      <c r="E415" s="11"/>
      <c r="F415" s="1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1"/>
      <c r="S415" s="7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2"/>
    </row>
    <row r="416" spans="1:36" x14ac:dyDescent="0.3">
      <c r="A416" s="62"/>
      <c r="B416" s="11"/>
      <c r="C416" s="11"/>
      <c r="D416" s="11"/>
      <c r="E416" s="11"/>
      <c r="F416" s="1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1"/>
      <c r="S416" s="7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2"/>
    </row>
    <row r="417" spans="1:36" x14ac:dyDescent="0.3">
      <c r="A417" s="62"/>
      <c r="B417" s="11"/>
      <c r="C417" s="11"/>
      <c r="D417" s="11"/>
      <c r="E417" s="11"/>
      <c r="F417" s="1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1"/>
      <c r="S417" s="7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2"/>
    </row>
    <row r="418" spans="1:36" x14ac:dyDescent="0.3">
      <c r="A418" s="62"/>
      <c r="B418" s="11"/>
      <c r="C418" s="11"/>
      <c r="D418" s="11"/>
      <c r="E418" s="11"/>
      <c r="F418" s="1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1"/>
      <c r="S418" s="7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2"/>
    </row>
    <row r="419" spans="1:36" x14ac:dyDescent="0.3">
      <c r="A419" s="62"/>
      <c r="B419" s="11"/>
      <c r="C419" s="11"/>
      <c r="D419" s="11"/>
      <c r="E419" s="11"/>
      <c r="F419" s="1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1"/>
      <c r="S419" s="7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2"/>
    </row>
    <row r="420" spans="1:36" x14ac:dyDescent="0.3">
      <c r="A420" s="62"/>
      <c r="B420" s="11"/>
      <c r="C420" s="11"/>
      <c r="D420" s="11"/>
      <c r="E420" s="11"/>
      <c r="F420" s="1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1"/>
      <c r="S420" s="7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2"/>
    </row>
    <row r="421" spans="1:36" x14ac:dyDescent="0.3">
      <c r="A421" s="62"/>
      <c r="B421" s="11"/>
      <c r="C421" s="11"/>
      <c r="D421" s="11"/>
      <c r="E421" s="11"/>
      <c r="F421" s="1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1"/>
      <c r="S421" s="7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2"/>
    </row>
    <row r="422" spans="1:36" x14ac:dyDescent="0.3">
      <c r="A422" s="62"/>
      <c r="B422" s="11"/>
      <c r="C422" s="11"/>
      <c r="D422" s="11"/>
      <c r="E422" s="11"/>
      <c r="F422" s="1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1"/>
      <c r="S422" s="7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2"/>
    </row>
    <row r="423" spans="1:36" x14ac:dyDescent="0.3">
      <c r="A423" s="62"/>
      <c r="B423" s="11"/>
      <c r="C423" s="11"/>
      <c r="D423" s="11"/>
      <c r="E423" s="11"/>
      <c r="F423" s="1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1"/>
      <c r="S423" s="7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2"/>
    </row>
    <row r="424" spans="1:36" x14ac:dyDescent="0.3">
      <c r="A424" s="62"/>
      <c r="B424" s="11"/>
      <c r="C424" s="11"/>
      <c r="D424" s="11"/>
      <c r="E424" s="11"/>
      <c r="F424" s="1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1"/>
      <c r="S424" s="7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2"/>
    </row>
    <row r="425" spans="1:36" x14ac:dyDescent="0.3">
      <c r="A425" s="62"/>
      <c r="B425" s="11"/>
      <c r="C425" s="11"/>
      <c r="D425" s="11"/>
      <c r="E425" s="11"/>
      <c r="F425" s="1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1"/>
      <c r="S425" s="7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2"/>
    </row>
    <row r="426" spans="1:36" x14ac:dyDescent="0.3">
      <c r="A426" s="62"/>
      <c r="B426" s="11"/>
      <c r="C426" s="11"/>
      <c r="D426" s="11"/>
      <c r="E426" s="11"/>
      <c r="F426" s="1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1"/>
      <c r="S426" s="7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2"/>
    </row>
    <row r="427" spans="1:36" x14ac:dyDescent="0.3">
      <c r="A427" s="62"/>
      <c r="B427" s="11"/>
      <c r="C427" s="11"/>
      <c r="D427" s="11"/>
      <c r="E427" s="11"/>
      <c r="F427" s="1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1"/>
      <c r="S427" s="7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2"/>
    </row>
    <row r="428" spans="1:36" x14ac:dyDescent="0.3">
      <c r="A428" s="62"/>
      <c r="B428" s="11"/>
      <c r="C428" s="11"/>
      <c r="D428" s="11"/>
      <c r="E428" s="11"/>
      <c r="F428" s="1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1"/>
      <c r="S428" s="7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2"/>
    </row>
    <row r="429" spans="1:36" x14ac:dyDescent="0.3">
      <c r="A429" s="62"/>
      <c r="B429" s="11"/>
      <c r="C429" s="11"/>
      <c r="D429" s="11"/>
      <c r="E429" s="11"/>
      <c r="F429" s="1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1"/>
      <c r="S429" s="7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2"/>
    </row>
    <row r="430" spans="1:36" x14ac:dyDescent="0.3">
      <c r="A430" s="62"/>
      <c r="B430" s="11"/>
      <c r="C430" s="11"/>
      <c r="D430" s="11"/>
      <c r="E430" s="11"/>
      <c r="F430" s="1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1"/>
      <c r="S430" s="7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2"/>
    </row>
    <row r="431" spans="1:36" x14ac:dyDescent="0.3">
      <c r="A431" s="62"/>
      <c r="B431" s="11"/>
      <c r="C431" s="11"/>
      <c r="D431" s="11"/>
      <c r="E431" s="11"/>
      <c r="F431" s="1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1"/>
      <c r="S431" s="7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2"/>
    </row>
    <row r="432" spans="1:36" x14ac:dyDescent="0.3">
      <c r="A432" s="62"/>
      <c r="B432" s="11"/>
      <c r="C432" s="11"/>
      <c r="D432" s="11"/>
      <c r="E432" s="11"/>
      <c r="F432" s="1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1"/>
      <c r="S432" s="7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2"/>
    </row>
    <row r="433" spans="1:36" x14ac:dyDescent="0.3">
      <c r="A433" s="62"/>
      <c r="B433" s="11"/>
      <c r="C433" s="11"/>
      <c r="D433" s="11"/>
      <c r="E433" s="11"/>
      <c r="F433" s="1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1"/>
      <c r="S433" s="7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2"/>
    </row>
    <row r="434" spans="1:36" x14ac:dyDescent="0.3">
      <c r="A434" s="62"/>
      <c r="B434" s="11"/>
      <c r="C434" s="11"/>
      <c r="D434" s="11"/>
      <c r="E434" s="11"/>
      <c r="F434" s="1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1"/>
      <c r="S434" s="7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2"/>
    </row>
    <row r="435" spans="1:36" x14ac:dyDescent="0.3">
      <c r="A435" s="62"/>
      <c r="B435" s="11"/>
      <c r="C435" s="11"/>
      <c r="D435" s="11"/>
      <c r="E435" s="11"/>
      <c r="F435" s="1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1"/>
      <c r="S435" s="7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2"/>
    </row>
    <row r="436" spans="1:36" x14ac:dyDescent="0.3">
      <c r="A436" s="62"/>
      <c r="B436" s="11"/>
      <c r="C436" s="11"/>
      <c r="D436" s="11"/>
      <c r="E436" s="11"/>
      <c r="F436" s="1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1"/>
      <c r="S436" s="7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2"/>
    </row>
    <row r="437" spans="1:36" x14ac:dyDescent="0.3">
      <c r="A437" s="62"/>
      <c r="B437" s="11"/>
      <c r="C437" s="11"/>
      <c r="D437" s="11"/>
      <c r="E437" s="11"/>
      <c r="F437" s="1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1"/>
      <c r="S437" s="7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2"/>
    </row>
    <row r="438" spans="1:36" x14ac:dyDescent="0.3">
      <c r="A438" s="62"/>
      <c r="B438" s="11"/>
      <c r="C438" s="11"/>
      <c r="D438" s="11"/>
      <c r="E438" s="11"/>
      <c r="F438" s="1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1"/>
      <c r="S438" s="7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2"/>
    </row>
    <row r="439" spans="1:36" x14ac:dyDescent="0.3">
      <c r="A439" s="62"/>
      <c r="B439" s="11"/>
      <c r="C439" s="11"/>
      <c r="D439" s="11"/>
      <c r="E439" s="11"/>
      <c r="F439" s="1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1"/>
      <c r="S439" s="7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2"/>
    </row>
    <row r="440" spans="1:36" x14ac:dyDescent="0.3">
      <c r="A440" s="62"/>
      <c r="B440" s="11"/>
      <c r="C440" s="11"/>
      <c r="D440" s="11"/>
      <c r="E440" s="11"/>
      <c r="F440" s="1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1"/>
      <c r="S440" s="7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2"/>
    </row>
    <row r="441" spans="1:36" x14ac:dyDescent="0.3">
      <c r="A441" s="62"/>
      <c r="B441" s="11"/>
      <c r="C441" s="11"/>
      <c r="D441" s="11"/>
      <c r="E441" s="11"/>
      <c r="F441" s="1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1"/>
      <c r="S441" s="7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2"/>
    </row>
    <row r="442" spans="1:36" x14ac:dyDescent="0.3">
      <c r="A442" s="62"/>
      <c r="B442" s="11"/>
      <c r="C442" s="11"/>
      <c r="D442" s="11"/>
      <c r="E442" s="11"/>
      <c r="F442" s="1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1"/>
      <c r="S442" s="7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2"/>
    </row>
    <row r="443" spans="1:36" x14ac:dyDescent="0.3">
      <c r="A443" s="62"/>
      <c r="B443" s="11"/>
      <c r="C443" s="11"/>
      <c r="D443" s="11"/>
      <c r="E443" s="11"/>
      <c r="F443" s="1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1"/>
      <c r="S443" s="7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2"/>
    </row>
    <row r="444" spans="1:36" x14ac:dyDescent="0.3">
      <c r="A444" s="62"/>
      <c r="B444" s="11"/>
      <c r="C444" s="11"/>
      <c r="D444" s="11"/>
      <c r="E444" s="11"/>
      <c r="F444" s="1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/>
      <c r="S444" s="7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2"/>
    </row>
    <row r="445" spans="1:36" x14ac:dyDescent="0.3">
      <c r="A445" s="62"/>
      <c r="B445" s="11"/>
      <c r="C445" s="11"/>
      <c r="D445" s="11"/>
      <c r="E445" s="11"/>
      <c r="F445" s="1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/>
      <c r="S445" s="7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2"/>
    </row>
    <row r="446" spans="1:36" x14ac:dyDescent="0.3">
      <c r="A446" s="62"/>
      <c r="B446" s="11"/>
      <c r="C446" s="11"/>
      <c r="D446" s="11"/>
      <c r="E446" s="11"/>
      <c r="F446" s="1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/>
      <c r="S446" s="7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2"/>
    </row>
    <row r="447" spans="1:36" x14ac:dyDescent="0.3">
      <c r="A447" s="62"/>
      <c r="B447" s="11"/>
      <c r="C447" s="11"/>
      <c r="D447" s="11"/>
      <c r="E447" s="11"/>
      <c r="F447" s="1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1"/>
      <c r="S447" s="7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2"/>
    </row>
    <row r="448" spans="1:36" x14ac:dyDescent="0.3">
      <c r="A448" s="62"/>
      <c r="B448" s="11"/>
      <c r="C448" s="11"/>
      <c r="D448" s="11"/>
      <c r="E448" s="11"/>
      <c r="F448" s="1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1"/>
      <c r="S448" s="7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2"/>
    </row>
    <row r="449" spans="1:36" x14ac:dyDescent="0.3">
      <c r="A449" s="62"/>
      <c r="B449" s="11"/>
      <c r="C449" s="11"/>
      <c r="D449" s="11"/>
      <c r="E449" s="11"/>
      <c r="F449" s="1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1"/>
      <c r="S449" s="7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2"/>
    </row>
    <row r="450" spans="1:36" x14ac:dyDescent="0.3">
      <c r="A450" s="62"/>
      <c r="B450" s="11"/>
      <c r="C450" s="11"/>
      <c r="D450" s="11"/>
      <c r="E450" s="11"/>
      <c r="F450" s="1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1"/>
      <c r="S450" s="7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2"/>
    </row>
    <row r="451" spans="1:36" x14ac:dyDescent="0.3">
      <c r="A451" s="62"/>
      <c r="B451" s="11"/>
      <c r="C451" s="11"/>
      <c r="D451" s="11"/>
      <c r="E451" s="11"/>
      <c r="F451" s="1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1"/>
      <c r="S451" s="7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2"/>
    </row>
    <row r="452" spans="1:36" x14ac:dyDescent="0.3">
      <c r="A452" s="62"/>
      <c r="B452" s="11"/>
      <c r="C452" s="11"/>
      <c r="D452" s="11"/>
      <c r="E452" s="11"/>
      <c r="F452" s="1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1"/>
      <c r="S452" s="7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2"/>
    </row>
    <row r="453" spans="1:36" x14ac:dyDescent="0.3">
      <c r="A453" s="62"/>
      <c r="B453" s="11"/>
      <c r="C453" s="11"/>
      <c r="D453" s="11"/>
      <c r="E453" s="11"/>
      <c r="F453" s="1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1"/>
      <c r="S453" s="7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2"/>
    </row>
    <row r="454" spans="1:36" x14ac:dyDescent="0.3">
      <c r="A454" s="62"/>
      <c r="B454" s="11"/>
      <c r="C454" s="11"/>
      <c r="D454" s="11"/>
      <c r="E454" s="11"/>
      <c r="F454" s="1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1"/>
      <c r="S454" s="7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2"/>
    </row>
    <row r="455" spans="1:36" x14ac:dyDescent="0.3">
      <c r="A455" s="62"/>
      <c r="B455" s="11"/>
      <c r="C455" s="11"/>
      <c r="D455" s="11"/>
      <c r="E455" s="11"/>
      <c r="F455" s="1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1"/>
      <c r="S455" s="7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2"/>
    </row>
    <row r="456" spans="1:36" x14ac:dyDescent="0.3">
      <c r="A456" s="62"/>
      <c r="B456" s="11"/>
      <c r="C456" s="11"/>
      <c r="D456" s="11"/>
      <c r="E456" s="11"/>
      <c r="F456" s="1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/>
      <c r="S456" s="7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2"/>
    </row>
    <row r="457" spans="1:36" x14ac:dyDescent="0.3">
      <c r="A457" s="62"/>
      <c r="B457" s="11"/>
      <c r="C457" s="11"/>
      <c r="D457" s="11"/>
      <c r="E457" s="11"/>
      <c r="F457" s="1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/>
      <c r="S457" s="7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2"/>
    </row>
    <row r="458" spans="1:36" x14ac:dyDescent="0.3">
      <c r="A458" s="62"/>
      <c r="B458" s="11"/>
      <c r="C458" s="11"/>
      <c r="D458" s="11"/>
      <c r="E458" s="11"/>
      <c r="F458" s="1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/>
      <c r="S458" s="7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2"/>
    </row>
    <row r="459" spans="1:36" x14ac:dyDescent="0.3">
      <c r="A459" s="62"/>
      <c r="B459" s="11"/>
      <c r="C459" s="11"/>
      <c r="D459" s="11"/>
      <c r="E459" s="11"/>
      <c r="F459" s="1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1"/>
      <c r="S459" s="7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2"/>
    </row>
    <row r="460" spans="1:36" x14ac:dyDescent="0.3">
      <c r="A460" s="62"/>
      <c r="B460" s="11"/>
      <c r="C460" s="11"/>
      <c r="D460" s="11"/>
      <c r="E460" s="11"/>
      <c r="F460" s="1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1"/>
      <c r="S460" s="7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2"/>
    </row>
    <row r="461" spans="1:36" x14ac:dyDescent="0.3">
      <c r="A461" s="62"/>
      <c r="B461" s="11"/>
      <c r="C461" s="11"/>
      <c r="D461" s="11"/>
      <c r="E461" s="11"/>
      <c r="F461" s="1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1"/>
      <c r="S461" s="7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2"/>
    </row>
    <row r="462" spans="1:36" x14ac:dyDescent="0.3">
      <c r="A462" s="62"/>
      <c r="B462" s="11"/>
      <c r="C462" s="11"/>
      <c r="D462" s="11"/>
      <c r="E462" s="11"/>
      <c r="F462" s="1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1"/>
      <c r="S462" s="7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2"/>
    </row>
    <row r="463" spans="1:36" x14ac:dyDescent="0.3">
      <c r="A463" s="62"/>
      <c r="B463" s="11"/>
      <c r="C463" s="11"/>
      <c r="D463" s="11"/>
      <c r="E463" s="11"/>
      <c r="F463" s="1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1"/>
      <c r="S463" s="7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2"/>
    </row>
    <row r="464" spans="1:36" x14ac:dyDescent="0.3">
      <c r="A464" s="62"/>
      <c r="B464" s="11"/>
      <c r="C464" s="11"/>
      <c r="D464" s="11"/>
      <c r="E464" s="11"/>
      <c r="F464" s="1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1"/>
      <c r="S464" s="7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2"/>
    </row>
    <row r="465" spans="1:36" x14ac:dyDescent="0.3">
      <c r="A465" s="62"/>
      <c r="B465" s="11"/>
      <c r="C465" s="11"/>
      <c r="D465" s="11"/>
      <c r="E465" s="11"/>
      <c r="F465" s="1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1"/>
      <c r="S465" s="7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2"/>
    </row>
    <row r="466" spans="1:36" x14ac:dyDescent="0.3">
      <c r="A466" s="62"/>
      <c r="B466" s="11"/>
      <c r="C466" s="11"/>
      <c r="D466" s="11"/>
      <c r="E466" s="11"/>
      <c r="F466" s="1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1"/>
      <c r="S466" s="7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2"/>
    </row>
    <row r="467" spans="1:36" x14ac:dyDescent="0.3">
      <c r="A467" s="62"/>
      <c r="B467" s="11"/>
      <c r="C467" s="11"/>
      <c r="D467" s="11"/>
      <c r="E467" s="11"/>
      <c r="F467" s="1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1"/>
      <c r="S467" s="7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2"/>
    </row>
    <row r="468" spans="1:36" x14ac:dyDescent="0.3">
      <c r="A468" s="62"/>
      <c r="B468" s="11"/>
      <c r="C468" s="11"/>
      <c r="D468" s="11"/>
      <c r="E468" s="11"/>
      <c r="F468" s="1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1"/>
      <c r="S468" s="7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2"/>
    </row>
    <row r="469" spans="1:36" x14ac:dyDescent="0.3">
      <c r="A469" s="62"/>
      <c r="B469" s="11"/>
      <c r="C469" s="11"/>
      <c r="D469" s="11"/>
      <c r="E469" s="11"/>
      <c r="F469" s="1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1"/>
      <c r="S469" s="7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2"/>
    </row>
    <row r="470" spans="1:36" x14ac:dyDescent="0.3">
      <c r="A470" s="62"/>
      <c r="B470" s="11"/>
      <c r="C470" s="11"/>
      <c r="D470" s="11"/>
      <c r="E470" s="11"/>
      <c r="F470" s="1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1"/>
      <c r="S470" s="7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2"/>
    </row>
    <row r="471" spans="1:36" x14ac:dyDescent="0.3">
      <c r="A471" s="62"/>
      <c r="B471" s="11"/>
      <c r="C471" s="11"/>
      <c r="D471" s="11"/>
      <c r="E471" s="11"/>
      <c r="F471" s="1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1"/>
      <c r="S471" s="7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2"/>
    </row>
    <row r="472" spans="1:36" x14ac:dyDescent="0.3">
      <c r="A472" s="62"/>
      <c r="B472" s="11"/>
      <c r="C472" s="11"/>
      <c r="D472" s="11"/>
      <c r="E472" s="11"/>
      <c r="F472" s="1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1"/>
      <c r="S472" s="7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2"/>
    </row>
    <row r="473" spans="1:36" x14ac:dyDescent="0.3">
      <c r="A473" s="62"/>
      <c r="B473" s="11"/>
      <c r="C473" s="11"/>
      <c r="D473" s="11"/>
      <c r="E473" s="11"/>
      <c r="F473" s="1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1"/>
      <c r="S473" s="7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2"/>
    </row>
    <row r="474" spans="1:36" x14ac:dyDescent="0.3">
      <c r="A474" s="62"/>
      <c r="B474" s="11"/>
      <c r="C474" s="11"/>
      <c r="D474" s="11"/>
      <c r="E474" s="11"/>
      <c r="F474" s="1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1"/>
      <c r="S474" s="7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2"/>
    </row>
    <row r="475" spans="1:36" x14ac:dyDescent="0.3">
      <c r="A475" s="62"/>
      <c r="B475" s="11"/>
      <c r="C475" s="11"/>
      <c r="D475" s="11"/>
      <c r="E475" s="11"/>
      <c r="F475" s="1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1"/>
      <c r="S475" s="7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2"/>
    </row>
    <row r="476" spans="1:36" x14ac:dyDescent="0.3">
      <c r="A476" s="62"/>
      <c r="B476" s="11"/>
      <c r="C476" s="11"/>
      <c r="D476" s="11"/>
      <c r="E476" s="11"/>
      <c r="F476" s="1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1"/>
      <c r="S476" s="7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2"/>
    </row>
    <row r="477" spans="1:36" x14ac:dyDescent="0.3">
      <c r="A477" s="62"/>
      <c r="B477" s="11"/>
      <c r="C477" s="11"/>
      <c r="D477" s="11"/>
      <c r="E477" s="11"/>
      <c r="F477" s="1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1"/>
      <c r="S477" s="7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2"/>
    </row>
    <row r="478" spans="1:36" x14ac:dyDescent="0.3">
      <c r="A478" s="62"/>
      <c r="B478" s="11"/>
      <c r="C478" s="11"/>
      <c r="D478" s="11"/>
      <c r="E478" s="11"/>
      <c r="F478" s="1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1"/>
      <c r="S478" s="7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2"/>
    </row>
    <row r="479" spans="1:36" x14ac:dyDescent="0.3">
      <c r="A479" s="62"/>
      <c r="B479" s="11"/>
      <c r="C479" s="11"/>
      <c r="D479" s="1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1"/>
      <c r="S479" s="7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2"/>
    </row>
    <row r="480" spans="1:36" x14ac:dyDescent="0.3">
      <c r="A480" s="62"/>
      <c r="B480" s="11"/>
      <c r="C480" s="11"/>
      <c r="D480" s="11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1"/>
      <c r="S480" s="7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2"/>
    </row>
    <row r="481" spans="1:36" x14ac:dyDescent="0.3">
      <c r="A481" s="62"/>
      <c r="B481" s="11"/>
      <c r="C481" s="11"/>
      <c r="D481" s="1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1"/>
      <c r="S481" s="7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2"/>
    </row>
    <row r="482" spans="1:36" x14ac:dyDescent="0.3">
      <c r="A482" s="62"/>
      <c r="B482" s="11"/>
      <c r="C482" s="11"/>
      <c r="D482" s="1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1"/>
      <c r="S482" s="7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2"/>
    </row>
    <row r="483" spans="1:36" x14ac:dyDescent="0.3">
      <c r="A483" s="62"/>
      <c r="B483" s="11"/>
      <c r="C483" s="11"/>
      <c r="D483" s="1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1"/>
      <c r="S483" s="7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2"/>
    </row>
    <row r="484" spans="1:36" x14ac:dyDescent="0.3">
      <c r="A484" s="62"/>
      <c r="B484" s="11"/>
      <c r="C484" s="11"/>
      <c r="D484" s="1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1"/>
      <c r="S484" s="7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2"/>
    </row>
    <row r="485" spans="1:36" x14ac:dyDescent="0.3">
      <c r="A485" s="62"/>
      <c r="B485" s="11"/>
      <c r="C485" s="11"/>
      <c r="D485" s="1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1"/>
      <c r="S485" s="7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2"/>
    </row>
    <row r="486" spans="1:36" x14ac:dyDescent="0.3">
      <c r="A486" s="62"/>
      <c r="B486" s="11"/>
      <c r="C486" s="11"/>
      <c r="D486" s="1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1"/>
      <c r="S486" s="7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2"/>
    </row>
    <row r="487" spans="1:36" x14ac:dyDescent="0.3">
      <c r="A487" s="62"/>
      <c r="B487" s="11"/>
      <c r="C487" s="11"/>
      <c r="D487" s="1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1"/>
      <c r="S487" s="7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2"/>
    </row>
    <row r="488" spans="1:36" x14ac:dyDescent="0.3">
      <c r="A488" s="62"/>
      <c r="B488" s="11"/>
      <c r="C488" s="11"/>
      <c r="D488" s="1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1"/>
      <c r="S488" s="7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2"/>
    </row>
    <row r="489" spans="1:36" x14ac:dyDescent="0.3">
      <c r="A489" s="62"/>
      <c r="B489" s="11"/>
      <c r="C489" s="11"/>
      <c r="D489" s="1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1"/>
      <c r="S489" s="7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2"/>
    </row>
    <row r="490" spans="1:36" x14ac:dyDescent="0.3">
      <c r="A490" s="62"/>
      <c r="B490" s="11"/>
      <c r="C490" s="11"/>
      <c r="D490" s="1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1"/>
      <c r="S490" s="7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2"/>
    </row>
    <row r="491" spans="1:36" x14ac:dyDescent="0.3">
      <c r="A491" s="62"/>
      <c r="B491" s="11"/>
      <c r="C491" s="11"/>
      <c r="D491" s="1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1"/>
      <c r="S491" s="7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2"/>
    </row>
    <row r="492" spans="1:36" x14ac:dyDescent="0.3">
      <c r="A492" s="62"/>
      <c r="B492" s="11"/>
      <c r="C492" s="11"/>
      <c r="D492" s="1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1"/>
      <c r="S492" s="7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2"/>
    </row>
    <row r="493" spans="1:36" x14ac:dyDescent="0.3">
      <c r="A493" s="62"/>
      <c r="B493" s="11"/>
      <c r="C493" s="11"/>
      <c r="D493" s="1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1"/>
      <c r="S493" s="7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2"/>
    </row>
    <row r="494" spans="1:36" x14ac:dyDescent="0.3">
      <c r="A494" s="62"/>
      <c r="B494" s="11"/>
      <c r="C494" s="11"/>
      <c r="D494" s="1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1"/>
      <c r="S494" s="7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2"/>
    </row>
    <row r="495" spans="1:36" x14ac:dyDescent="0.3">
      <c r="A495" s="62"/>
      <c r="B495" s="11"/>
      <c r="C495" s="11"/>
      <c r="D495" s="11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1"/>
      <c r="S495" s="7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2"/>
    </row>
    <row r="496" spans="1:36" x14ac:dyDescent="0.3">
      <c r="A496" s="62"/>
      <c r="B496" s="11"/>
      <c r="C496" s="11"/>
      <c r="D496" s="11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1"/>
      <c r="S496" s="7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2"/>
    </row>
    <row r="497" spans="1:36" x14ac:dyDescent="0.3">
      <c r="A497" s="62"/>
      <c r="B497" s="11"/>
      <c r="C497" s="11"/>
      <c r="D497" s="11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1"/>
      <c r="S497" s="7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2"/>
    </row>
    <row r="498" spans="1:36" x14ac:dyDescent="0.3">
      <c r="A498" s="62"/>
      <c r="B498" s="11"/>
      <c r="C498" s="11"/>
      <c r="D498" s="11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1"/>
      <c r="S498" s="7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2"/>
    </row>
    <row r="499" spans="1:36" x14ac:dyDescent="0.3">
      <c r="A499" s="62"/>
      <c r="B499" s="11"/>
      <c r="C499" s="11"/>
      <c r="D499" s="1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1"/>
      <c r="S499" s="7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2"/>
    </row>
    <row r="500" spans="1:36" x14ac:dyDescent="0.3">
      <c r="A500" s="62"/>
      <c r="B500" s="11"/>
      <c r="C500" s="11"/>
      <c r="D500" s="11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1"/>
      <c r="S500" s="7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2"/>
    </row>
    <row r="501" spans="1:36" x14ac:dyDescent="0.3">
      <c r="A501" s="62"/>
      <c r="B501" s="11"/>
      <c r="C501" s="11"/>
      <c r="D501" s="1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1"/>
      <c r="S501" s="7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2"/>
    </row>
    <row r="502" spans="1:36" x14ac:dyDescent="0.3">
      <c r="A502" s="62"/>
      <c r="B502" s="11"/>
      <c r="C502" s="11"/>
      <c r="D502" s="1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1"/>
      <c r="S502" s="7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2"/>
    </row>
    <row r="503" spans="1:36" x14ac:dyDescent="0.3">
      <c r="A503" s="62"/>
      <c r="B503" s="11"/>
      <c r="C503" s="11"/>
      <c r="D503" s="1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1"/>
      <c r="S503" s="7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2"/>
    </row>
    <row r="504" spans="1:36" x14ac:dyDescent="0.3">
      <c r="A504" s="62"/>
      <c r="B504" s="11"/>
      <c r="C504" s="11"/>
      <c r="D504" s="1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1"/>
      <c r="S504" s="7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2"/>
    </row>
    <row r="505" spans="1:36" x14ac:dyDescent="0.3">
      <c r="A505" s="62"/>
      <c r="B505" s="11"/>
      <c r="C505" s="11"/>
      <c r="D505" s="1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1"/>
      <c r="S505" s="7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2"/>
    </row>
    <row r="506" spans="1:36" x14ac:dyDescent="0.3">
      <c r="A506" s="62"/>
      <c r="B506" s="11"/>
      <c r="C506" s="11"/>
      <c r="D506" s="1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1"/>
      <c r="S506" s="7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2"/>
    </row>
    <row r="507" spans="1:36" x14ac:dyDescent="0.3">
      <c r="A507" s="62"/>
      <c r="B507" s="11"/>
      <c r="C507" s="11"/>
      <c r="D507" s="1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1"/>
      <c r="S507" s="7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2"/>
    </row>
    <row r="508" spans="1:36" x14ac:dyDescent="0.3">
      <c r="A508" s="62"/>
      <c r="B508" s="11"/>
      <c r="C508" s="11"/>
      <c r="D508" s="11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1"/>
      <c r="S508" s="7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2"/>
    </row>
    <row r="509" spans="1:36" x14ac:dyDescent="0.3">
      <c r="A509" s="62"/>
      <c r="B509" s="11"/>
      <c r="C509" s="11"/>
      <c r="D509" s="1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1"/>
      <c r="S509" s="7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2"/>
    </row>
    <row r="510" spans="1:36" x14ac:dyDescent="0.3">
      <c r="A510" s="62"/>
      <c r="B510" s="11"/>
      <c r="C510" s="11"/>
      <c r="D510" s="1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1"/>
      <c r="S510" s="7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2"/>
    </row>
    <row r="511" spans="1:36" x14ac:dyDescent="0.3">
      <c r="A511" s="62"/>
      <c r="B511" s="11"/>
      <c r="C511" s="11"/>
      <c r="D511" s="1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1"/>
      <c r="S511" s="7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2"/>
    </row>
    <row r="512" spans="1:36" x14ac:dyDescent="0.3">
      <c r="A512" s="62"/>
      <c r="B512" s="11"/>
      <c r="C512" s="11"/>
      <c r="D512" s="1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1"/>
      <c r="S512" s="7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2"/>
    </row>
    <row r="513" spans="1:36" x14ac:dyDescent="0.3">
      <c r="A513" s="62"/>
      <c r="B513" s="11"/>
      <c r="C513" s="11"/>
      <c r="D513" s="1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1"/>
      <c r="S513" s="7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2"/>
    </row>
    <row r="514" spans="1:36" x14ac:dyDescent="0.3">
      <c r="A514" s="62"/>
      <c r="B514" s="11"/>
      <c r="C514" s="11"/>
      <c r="D514" s="1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1"/>
      <c r="S514" s="7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2"/>
    </row>
    <row r="515" spans="1:36" x14ac:dyDescent="0.3">
      <c r="A515" s="62"/>
      <c r="B515" s="11"/>
      <c r="C515" s="11"/>
      <c r="D515" s="11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1"/>
      <c r="S515" s="7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2"/>
    </row>
    <row r="516" spans="1:36" x14ac:dyDescent="0.3">
      <c r="A516" s="62"/>
      <c r="B516" s="11"/>
      <c r="C516" s="11"/>
      <c r="D516" s="11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1"/>
      <c r="S516" s="7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2"/>
    </row>
    <row r="517" spans="1:36" x14ac:dyDescent="0.3">
      <c r="A517" s="62"/>
      <c r="B517" s="11"/>
      <c r="C517" s="11"/>
      <c r="D517" s="11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1"/>
      <c r="S517" s="7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2"/>
    </row>
    <row r="518" spans="1:36" x14ac:dyDescent="0.3">
      <c r="A518" s="62"/>
      <c r="B518" s="11"/>
      <c r="C518" s="11"/>
      <c r="D518" s="11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1"/>
      <c r="S518" s="7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2"/>
    </row>
    <row r="519" spans="1:36" x14ac:dyDescent="0.3">
      <c r="A519" s="62"/>
      <c r="B519" s="11"/>
      <c r="C519" s="11"/>
      <c r="D519" s="1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1"/>
      <c r="S519" s="7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2"/>
    </row>
    <row r="520" spans="1:36" x14ac:dyDescent="0.3">
      <c r="A520" s="62"/>
      <c r="B520" s="11"/>
      <c r="C520" s="11"/>
      <c r="D520" s="1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1"/>
      <c r="S520" s="7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2"/>
    </row>
    <row r="521" spans="1:36" x14ac:dyDescent="0.3">
      <c r="A521" s="62"/>
      <c r="B521" s="11"/>
      <c r="C521" s="11"/>
      <c r="D521" s="1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1"/>
      <c r="S521" s="7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2"/>
    </row>
    <row r="522" spans="1:36" x14ac:dyDescent="0.3">
      <c r="A522" s="62"/>
      <c r="B522" s="11"/>
      <c r="C522" s="11"/>
      <c r="D522" s="1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1"/>
      <c r="S522" s="7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2"/>
    </row>
    <row r="523" spans="1:36" x14ac:dyDescent="0.3">
      <c r="A523" s="62"/>
      <c r="B523" s="11"/>
      <c r="C523" s="11"/>
      <c r="D523" s="1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1"/>
      <c r="S523" s="7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2"/>
    </row>
    <row r="524" spans="1:36" x14ac:dyDescent="0.3">
      <c r="A524" s="62"/>
      <c r="B524" s="11"/>
      <c r="C524" s="11"/>
      <c r="D524" s="11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1"/>
      <c r="S524" s="7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2"/>
    </row>
    <row r="525" spans="1:36" x14ac:dyDescent="0.3">
      <c r="A525" s="62"/>
      <c r="B525" s="11"/>
      <c r="C525" s="11"/>
      <c r="D525" s="11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1"/>
      <c r="S525" s="7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2"/>
    </row>
    <row r="526" spans="1:36" x14ac:dyDescent="0.3">
      <c r="A526" s="62"/>
      <c r="B526" s="11"/>
      <c r="C526" s="11"/>
      <c r="D526" s="11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1"/>
      <c r="S526" s="7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2"/>
    </row>
    <row r="527" spans="1:36" x14ac:dyDescent="0.3">
      <c r="A527" s="62"/>
      <c r="B527" s="11"/>
      <c r="C527" s="11"/>
      <c r="D527" s="11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1"/>
      <c r="S527" s="7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2"/>
    </row>
    <row r="528" spans="1:36" x14ac:dyDescent="0.3">
      <c r="A528" s="62"/>
      <c r="B528" s="11"/>
      <c r="C528" s="11"/>
      <c r="D528" s="11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1"/>
      <c r="S528" s="7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2"/>
    </row>
    <row r="529" spans="1:36" x14ac:dyDescent="0.3">
      <c r="A529" s="62"/>
      <c r="B529" s="11"/>
      <c r="C529" s="11"/>
      <c r="D529" s="11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1"/>
      <c r="S529" s="7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2"/>
    </row>
    <row r="530" spans="1:36" x14ac:dyDescent="0.3">
      <c r="A530" s="62"/>
      <c r="B530" s="11"/>
      <c r="C530" s="11"/>
      <c r="D530" s="11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1"/>
      <c r="S530" s="7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2"/>
    </row>
    <row r="531" spans="1:36" x14ac:dyDescent="0.3">
      <c r="A531" s="62"/>
      <c r="B531" s="11"/>
      <c r="C531" s="11"/>
      <c r="D531" s="11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1"/>
      <c r="S531" s="7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2"/>
    </row>
    <row r="532" spans="1:36" x14ac:dyDescent="0.3">
      <c r="A532" s="62"/>
      <c r="B532" s="11"/>
      <c r="C532" s="11"/>
      <c r="D532" s="11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1"/>
      <c r="S532" s="7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2"/>
    </row>
    <row r="533" spans="1:36" x14ac:dyDescent="0.3">
      <c r="A533" s="62"/>
      <c r="B533" s="11"/>
      <c r="C533" s="11"/>
      <c r="D533" s="11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1"/>
      <c r="S533" s="7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2"/>
    </row>
    <row r="534" spans="1:36" x14ac:dyDescent="0.3">
      <c r="A534" s="62"/>
      <c r="B534" s="11"/>
      <c r="C534" s="11"/>
      <c r="D534" s="11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1"/>
      <c r="S534" s="7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2"/>
    </row>
    <row r="535" spans="1:36" x14ac:dyDescent="0.3">
      <c r="A535" s="62"/>
      <c r="B535" s="11"/>
      <c r="C535" s="11"/>
      <c r="D535" s="11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1"/>
      <c r="S535" s="7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2"/>
    </row>
    <row r="536" spans="1:36" x14ac:dyDescent="0.3">
      <c r="A536" s="62"/>
      <c r="B536" s="11"/>
      <c r="C536" s="11"/>
      <c r="D536" s="11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1"/>
      <c r="S536" s="7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2"/>
    </row>
    <row r="537" spans="1:36" x14ac:dyDescent="0.3">
      <c r="A537" s="62"/>
      <c r="B537" s="11"/>
      <c r="C537" s="11"/>
      <c r="D537" s="11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1"/>
      <c r="S537" s="7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2"/>
    </row>
    <row r="538" spans="1:36" x14ac:dyDescent="0.3">
      <c r="A538" s="62"/>
      <c r="B538" s="11"/>
      <c r="C538" s="11"/>
      <c r="D538" s="11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1"/>
      <c r="S538" s="7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2"/>
    </row>
    <row r="539" spans="1:36" x14ac:dyDescent="0.3">
      <c r="A539" s="62"/>
      <c r="B539" s="11"/>
      <c r="C539" s="11"/>
      <c r="D539" s="11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1"/>
      <c r="S539" s="7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2"/>
    </row>
    <row r="540" spans="1:36" x14ac:dyDescent="0.3">
      <c r="A540" s="62"/>
      <c r="B540" s="11"/>
      <c r="C540" s="11"/>
      <c r="D540" s="11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1"/>
      <c r="S540" s="7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2"/>
    </row>
    <row r="541" spans="1:36" x14ac:dyDescent="0.3">
      <c r="A541" s="62"/>
      <c r="B541" s="11"/>
      <c r="C541" s="11"/>
      <c r="D541" s="11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1"/>
      <c r="S541" s="7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2"/>
    </row>
    <row r="542" spans="1:36" x14ac:dyDescent="0.3">
      <c r="A542" s="62"/>
      <c r="B542" s="11"/>
      <c r="C542" s="11"/>
      <c r="D542" s="11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1"/>
      <c r="S542" s="7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2"/>
    </row>
    <row r="543" spans="1:36" x14ac:dyDescent="0.3">
      <c r="A543" s="62"/>
      <c r="B543" s="11"/>
      <c r="C543" s="11"/>
      <c r="D543" s="11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1"/>
      <c r="S543" s="7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2"/>
    </row>
    <row r="544" spans="1:36" x14ac:dyDescent="0.3">
      <c r="A544" s="62"/>
      <c r="B544" s="11"/>
      <c r="C544" s="11"/>
      <c r="D544" s="11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1"/>
      <c r="S544" s="7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2"/>
    </row>
    <row r="545" spans="1:36" x14ac:dyDescent="0.3">
      <c r="A545" s="62"/>
      <c r="B545" s="11"/>
      <c r="C545" s="11"/>
      <c r="D545" s="11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1"/>
      <c r="S545" s="7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2"/>
    </row>
    <row r="546" spans="1:36" x14ac:dyDescent="0.3">
      <c r="A546" s="62"/>
      <c r="B546" s="11"/>
      <c r="C546" s="11"/>
      <c r="D546" s="11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1"/>
      <c r="S546" s="7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2"/>
    </row>
    <row r="547" spans="1:36" x14ac:dyDescent="0.3">
      <c r="A547" s="62"/>
      <c r="B547" s="11"/>
      <c r="C547" s="11"/>
      <c r="D547" s="11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1"/>
      <c r="S547" s="7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2"/>
    </row>
    <row r="548" spans="1:36" x14ac:dyDescent="0.3">
      <c r="A548" s="62"/>
      <c r="B548" s="11"/>
      <c r="C548" s="11"/>
      <c r="D548" s="11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1"/>
      <c r="S548" s="7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2"/>
    </row>
    <row r="549" spans="1:36" x14ac:dyDescent="0.3">
      <c r="A549" s="62"/>
      <c r="B549" s="11"/>
      <c r="C549" s="11"/>
      <c r="D549" s="11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1"/>
      <c r="S549" s="7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2"/>
    </row>
    <row r="550" spans="1:36" x14ac:dyDescent="0.3">
      <c r="A550" s="62"/>
      <c r="B550" s="11"/>
      <c r="C550" s="11"/>
      <c r="D550" s="11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1"/>
      <c r="S550" s="7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2"/>
    </row>
    <row r="551" spans="1:36" x14ac:dyDescent="0.3">
      <c r="A551" s="62"/>
      <c r="B551" s="11"/>
      <c r="C551" s="11"/>
      <c r="D551" s="11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1"/>
      <c r="S551" s="7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2"/>
    </row>
    <row r="552" spans="1:36" x14ac:dyDescent="0.3">
      <c r="A552" s="62"/>
      <c r="B552" s="11"/>
      <c r="C552" s="11"/>
      <c r="D552" s="11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1"/>
      <c r="S552" s="7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2"/>
    </row>
    <row r="553" spans="1:36" x14ac:dyDescent="0.3">
      <c r="A553" s="62"/>
      <c r="B553" s="11"/>
      <c r="C553" s="11"/>
      <c r="D553" s="11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1"/>
      <c r="S553" s="7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2"/>
    </row>
    <row r="554" spans="1:36" x14ac:dyDescent="0.3">
      <c r="A554" s="62"/>
      <c r="B554" s="11"/>
      <c r="C554" s="11"/>
      <c r="D554" s="11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1"/>
      <c r="S554" s="7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2"/>
    </row>
    <row r="555" spans="1:36" x14ac:dyDescent="0.3">
      <c r="A555" s="62"/>
      <c r="B555" s="11"/>
      <c r="C555" s="11"/>
      <c r="D555" s="11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1"/>
      <c r="S555" s="7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2"/>
    </row>
    <row r="556" spans="1:36" x14ac:dyDescent="0.3">
      <c r="A556" s="62"/>
      <c r="B556" s="11"/>
      <c r="C556" s="11"/>
      <c r="D556" s="11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1"/>
      <c r="S556" s="7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2"/>
    </row>
    <row r="557" spans="1:36" x14ac:dyDescent="0.3">
      <c r="A557" s="62"/>
      <c r="B557" s="11"/>
      <c r="C557" s="11"/>
      <c r="D557" s="11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1"/>
      <c r="S557" s="7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2"/>
    </row>
    <row r="558" spans="1:36" x14ac:dyDescent="0.3">
      <c r="A558" s="62"/>
      <c r="B558" s="11"/>
      <c r="C558" s="11"/>
      <c r="D558" s="11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1"/>
      <c r="S558" s="7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2"/>
    </row>
    <row r="559" spans="1:36" x14ac:dyDescent="0.3">
      <c r="A559" s="62"/>
      <c r="B559" s="11"/>
      <c r="C559" s="11"/>
      <c r="D559" s="11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1"/>
      <c r="S559" s="7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2"/>
    </row>
    <row r="560" spans="1:36" x14ac:dyDescent="0.3">
      <c r="A560" s="62"/>
      <c r="B560" s="11"/>
      <c r="C560" s="11"/>
      <c r="D560" s="11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1"/>
      <c r="S560" s="7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2"/>
    </row>
    <row r="561" spans="1:36" x14ac:dyDescent="0.3">
      <c r="A561" s="62"/>
      <c r="B561" s="11"/>
      <c r="C561" s="11"/>
      <c r="D561" s="11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1"/>
      <c r="S561" s="7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2"/>
    </row>
    <row r="562" spans="1:36" x14ac:dyDescent="0.3">
      <c r="A562" s="62"/>
      <c r="B562" s="11"/>
      <c r="C562" s="11"/>
      <c r="D562" s="11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1"/>
      <c r="S562" s="7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2"/>
    </row>
    <row r="563" spans="1:36" x14ac:dyDescent="0.3">
      <c r="A563" s="62"/>
      <c r="B563" s="11"/>
      <c r="C563" s="11"/>
      <c r="D563" s="11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1"/>
      <c r="S563" s="7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2"/>
    </row>
    <row r="564" spans="1:36" x14ac:dyDescent="0.3">
      <c r="A564" s="62"/>
      <c r="B564" s="11"/>
      <c r="C564" s="11"/>
      <c r="D564" s="11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1"/>
      <c r="S564" s="7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2"/>
    </row>
    <row r="565" spans="1:36" x14ac:dyDescent="0.3">
      <c r="A565" s="62"/>
      <c r="B565" s="11"/>
      <c r="C565" s="11"/>
      <c r="D565" s="11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1"/>
      <c r="S565" s="7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2"/>
    </row>
    <row r="566" spans="1:36" x14ac:dyDescent="0.3">
      <c r="A566" s="62"/>
      <c r="B566" s="11"/>
      <c r="C566" s="11"/>
      <c r="D566" s="11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1"/>
      <c r="S566" s="7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2"/>
    </row>
    <row r="567" spans="1:36" x14ac:dyDescent="0.3">
      <c r="A567" s="62"/>
      <c r="B567" s="11"/>
      <c r="C567" s="11"/>
      <c r="D567" s="11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1"/>
      <c r="S567" s="7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2"/>
    </row>
    <row r="568" spans="1:36" x14ac:dyDescent="0.3">
      <c r="A568" s="62"/>
      <c r="B568" s="11"/>
      <c r="C568" s="11"/>
      <c r="D568" s="11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1"/>
      <c r="S568" s="7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2"/>
    </row>
    <row r="569" spans="1:36" x14ac:dyDescent="0.3">
      <c r="A569" s="62"/>
      <c r="B569" s="11"/>
      <c r="C569" s="11"/>
      <c r="D569" s="11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1"/>
      <c r="S569" s="7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2"/>
    </row>
    <row r="570" spans="1:36" x14ac:dyDescent="0.3">
      <c r="A570" s="62"/>
      <c r="B570" s="11"/>
      <c r="C570" s="11"/>
      <c r="D570" s="11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1"/>
      <c r="S570" s="7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2"/>
    </row>
    <row r="571" spans="1:36" x14ac:dyDescent="0.3">
      <c r="A571" s="62"/>
      <c r="B571" s="11"/>
      <c r="C571" s="11"/>
      <c r="D571" s="11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1"/>
      <c r="S571" s="7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2"/>
    </row>
    <row r="572" spans="1:36" x14ac:dyDescent="0.3">
      <c r="A572" s="62"/>
      <c r="B572" s="11"/>
      <c r="C572" s="11"/>
      <c r="D572" s="11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1"/>
      <c r="S572" s="7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2"/>
    </row>
    <row r="573" spans="1:36" x14ac:dyDescent="0.3">
      <c r="A573" s="62"/>
      <c r="B573" s="11"/>
      <c r="C573" s="11"/>
      <c r="D573" s="11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1"/>
      <c r="S573" s="7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2"/>
    </row>
    <row r="574" spans="1:36" x14ac:dyDescent="0.3">
      <c r="A574" s="62"/>
      <c r="B574" s="11"/>
      <c r="C574" s="11"/>
      <c r="D574" s="11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1"/>
      <c r="S574" s="7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2"/>
    </row>
    <row r="575" spans="1:36" x14ac:dyDescent="0.3">
      <c r="A575" s="62"/>
      <c r="B575" s="11"/>
      <c r="C575" s="11"/>
      <c r="D575" s="11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1"/>
      <c r="S575" s="7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2"/>
    </row>
    <row r="576" spans="1:36" x14ac:dyDescent="0.3">
      <c r="A576" s="62"/>
      <c r="B576" s="11"/>
      <c r="C576" s="11"/>
      <c r="D576" s="11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1"/>
      <c r="S576" s="7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2"/>
    </row>
    <row r="577" spans="1:36" x14ac:dyDescent="0.3">
      <c r="A577" s="62"/>
      <c r="B577" s="11"/>
      <c r="C577" s="11"/>
      <c r="D577" s="11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1"/>
      <c r="S577" s="7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2"/>
    </row>
    <row r="578" spans="1:36" x14ac:dyDescent="0.3">
      <c r="A578" s="62"/>
      <c r="B578" s="11"/>
      <c r="C578" s="11"/>
      <c r="D578" s="11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1"/>
      <c r="S578" s="7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2"/>
    </row>
    <row r="579" spans="1:36" x14ac:dyDescent="0.3">
      <c r="A579" s="62"/>
      <c r="B579" s="11"/>
      <c r="C579" s="11"/>
      <c r="D579" s="11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1"/>
      <c r="S579" s="7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2"/>
    </row>
    <row r="580" spans="1:36" x14ac:dyDescent="0.3">
      <c r="A580" s="62"/>
      <c r="B580" s="11"/>
      <c r="C580" s="11"/>
      <c r="D580" s="11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1"/>
      <c r="S580" s="7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2"/>
    </row>
    <row r="581" spans="1:36" x14ac:dyDescent="0.3">
      <c r="A581" s="62"/>
      <c r="B581" s="11"/>
      <c r="C581" s="11"/>
      <c r="D581" s="11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1"/>
      <c r="S581" s="7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2"/>
    </row>
    <row r="582" spans="1:36" x14ac:dyDescent="0.3">
      <c r="A582" s="62"/>
      <c r="B582" s="11"/>
      <c r="C582" s="11"/>
      <c r="D582" s="11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1"/>
      <c r="S582" s="7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2"/>
    </row>
    <row r="583" spans="1:36" x14ac:dyDescent="0.3">
      <c r="A583" s="62"/>
      <c r="B583" s="11"/>
      <c r="C583" s="11"/>
      <c r="D583" s="11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1"/>
      <c r="S583" s="7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2"/>
    </row>
    <row r="584" spans="1:36" x14ac:dyDescent="0.3">
      <c r="A584" s="62"/>
      <c r="B584" s="11"/>
      <c r="C584" s="11"/>
      <c r="D584" s="11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1"/>
      <c r="S584" s="7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2"/>
    </row>
    <row r="585" spans="1:36" x14ac:dyDescent="0.3">
      <c r="A585" s="62"/>
      <c r="B585" s="11"/>
      <c r="C585" s="11"/>
      <c r="D585" s="11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1"/>
      <c r="S585" s="7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2"/>
    </row>
    <row r="586" spans="1:36" x14ac:dyDescent="0.3">
      <c r="A586" s="62"/>
      <c r="B586" s="11"/>
      <c r="C586" s="11"/>
      <c r="D586" s="11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1"/>
      <c r="S586" s="7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2"/>
    </row>
    <row r="587" spans="1:36" x14ac:dyDescent="0.3">
      <c r="A587" s="62"/>
      <c r="B587" s="11"/>
      <c r="C587" s="11"/>
      <c r="D587" s="11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1"/>
      <c r="S587" s="7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2"/>
    </row>
    <row r="588" spans="1:36" x14ac:dyDescent="0.3">
      <c r="A588" s="62"/>
      <c r="B588" s="11"/>
      <c r="C588" s="11"/>
      <c r="D588" s="11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1"/>
      <c r="S588" s="7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2"/>
    </row>
    <row r="589" spans="1:36" x14ac:dyDescent="0.3">
      <c r="A589" s="62"/>
      <c r="B589" s="11"/>
      <c r="C589" s="11"/>
      <c r="D589" s="11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1"/>
      <c r="S589" s="7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2"/>
    </row>
    <row r="590" spans="1:36" x14ac:dyDescent="0.3">
      <c r="A590" s="62"/>
      <c r="B590" s="11"/>
      <c r="C590" s="11"/>
      <c r="D590" s="11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1"/>
      <c r="S590" s="7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2"/>
    </row>
    <row r="591" spans="1:36" x14ac:dyDescent="0.3">
      <c r="A591" s="62"/>
      <c r="B591" s="11"/>
      <c r="C591" s="11"/>
      <c r="D591" s="11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1"/>
      <c r="S591" s="7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2"/>
    </row>
    <row r="592" spans="1:36" x14ac:dyDescent="0.3">
      <c r="A592" s="62"/>
      <c r="B592" s="11"/>
      <c r="C592" s="11"/>
      <c r="D592" s="11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1"/>
      <c r="S592" s="7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2"/>
    </row>
    <row r="593" spans="1:36" x14ac:dyDescent="0.3">
      <c r="A593" s="62"/>
      <c r="B593" s="11"/>
      <c r="C593" s="11"/>
      <c r="D593" s="11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1"/>
      <c r="S593" s="7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2"/>
    </row>
    <row r="594" spans="1:36" x14ac:dyDescent="0.3">
      <c r="A594" s="62"/>
      <c r="B594" s="11"/>
      <c r="C594" s="11"/>
      <c r="D594" s="11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1"/>
      <c r="S594" s="7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2"/>
    </row>
    <row r="595" spans="1:36" x14ac:dyDescent="0.3">
      <c r="A595" s="62"/>
      <c r="B595" s="11"/>
      <c r="C595" s="11"/>
      <c r="D595" s="11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1"/>
      <c r="S595" s="7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2"/>
    </row>
    <row r="596" spans="1:36" x14ac:dyDescent="0.3">
      <c r="A596" s="62"/>
      <c r="B596" s="11"/>
      <c r="C596" s="11"/>
      <c r="D596" s="11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1"/>
      <c r="S596" s="7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2"/>
    </row>
    <row r="597" spans="1:36" x14ac:dyDescent="0.3">
      <c r="A597" s="62"/>
      <c r="B597" s="11"/>
      <c r="C597" s="11"/>
      <c r="D597" s="11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1"/>
      <c r="S597" s="7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2"/>
    </row>
    <row r="598" spans="1:36" x14ac:dyDescent="0.3">
      <c r="A598" s="62"/>
      <c r="B598" s="11"/>
      <c r="C598" s="11"/>
      <c r="D598" s="11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1"/>
      <c r="S598" s="7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2"/>
    </row>
    <row r="599" spans="1:36" x14ac:dyDescent="0.3">
      <c r="A599" s="62"/>
      <c r="B599" s="11"/>
      <c r="C599" s="11"/>
      <c r="D599" s="11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1"/>
      <c r="S599" s="7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2"/>
    </row>
    <row r="600" spans="1:36" x14ac:dyDescent="0.3">
      <c r="A600" s="62"/>
      <c r="B600" s="11"/>
      <c r="C600" s="11"/>
      <c r="D600" s="11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1"/>
      <c r="S600" s="7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2"/>
    </row>
    <row r="601" spans="1:36" x14ac:dyDescent="0.3">
      <c r="A601" s="62"/>
      <c r="B601" s="11"/>
      <c r="C601" s="11"/>
      <c r="D601" s="11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1"/>
      <c r="S601" s="7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2"/>
    </row>
    <row r="602" spans="1:36" x14ac:dyDescent="0.3">
      <c r="A602" s="62"/>
      <c r="B602" s="11"/>
      <c r="C602" s="11"/>
      <c r="D602" s="1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1"/>
      <c r="S602" s="7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2"/>
    </row>
    <row r="603" spans="1:36" x14ac:dyDescent="0.3">
      <c r="A603" s="62"/>
      <c r="B603" s="11"/>
      <c r="C603" s="11"/>
      <c r="D603" s="1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1"/>
      <c r="S603" s="7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2"/>
    </row>
    <row r="604" spans="1:36" x14ac:dyDescent="0.3">
      <c r="A604" s="62"/>
      <c r="B604" s="11"/>
      <c r="C604" s="11"/>
      <c r="D604" s="1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1"/>
      <c r="S604" s="7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2"/>
    </row>
    <row r="605" spans="1:36" x14ac:dyDescent="0.3">
      <c r="A605" s="62"/>
      <c r="B605" s="11"/>
      <c r="C605" s="11"/>
      <c r="D605" s="1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1"/>
      <c r="S605" s="7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2"/>
    </row>
    <row r="606" spans="1:36" x14ac:dyDescent="0.3">
      <c r="A606" s="62"/>
      <c r="B606" s="11"/>
      <c r="C606" s="11"/>
      <c r="D606" s="1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1"/>
      <c r="S606" s="7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2"/>
    </row>
    <row r="607" spans="1:36" x14ac:dyDescent="0.3">
      <c r="A607" s="62"/>
      <c r="B607" s="11"/>
      <c r="C607" s="11"/>
      <c r="D607" s="1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1"/>
      <c r="S607" s="7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2"/>
    </row>
    <row r="608" spans="1:36" x14ac:dyDescent="0.3">
      <c r="A608" s="62"/>
      <c r="B608" s="11"/>
      <c r="C608" s="11"/>
      <c r="D608" s="1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1"/>
      <c r="S608" s="7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2"/>
    </row>
    <row r="609" spans="1:36" x14ac:dyDescent="0.3">
      <c r="A609" s="62"/>
      <c r="B609" s="11"/>
      <c r="C609" s="11"/>
      <c r="D609" s="1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1"/>
      <c r="S609" s="7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2"/>
    </row>
    <row r="610" spans="1:36" x14ac:dyDescent="0.3">
      <c r="A610" s="62"/>
      <c r="B610" s="11"/>
      <c r="C610" s="11"/>
      <c r="D610" s="1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1"/>
      <c r="S610" s="7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2"/>
    </row>
    <row r="611" spans="1:36" x14ac:dyDescent="0.3">
      <c r="A611" s="62"/>
      <c r="B611" s="11"/>
      <c r="C611" s="11"/>
      <c r="D611" s="1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1"/>
      <c r="S611" s="7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2"/>
    </row>
    <row r="612" spans="1:36" x14ac:dyDescent="0.3">
      <c r="A612" s="62"/>
      <c r="B612" s="11"/>
      <c r="C612" s="11"/>
      <c r="D612" s="1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1"/>
      <c r="S612" s="7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2"/>
    </row>
    <row r="613" spans="1:36" x14ac:dyDescent="0.3">
      <c r="A613" s="62"/>
      <c r="B613" s="11"/>
      <c r="C613" s="11"/>
      <c r="D613" s="1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1"/>
      <c r="S613" s="7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2"/>
    </row>
    <row r="614" spans="1:36" x14ac:dyDescent="0.3">
      <c r="A614" s="62"/>
      <c r="B614" s="11"/>
      <c r="C614" s="11"/>
      <c r="D614" s="1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1"/>
      <c r="S614" s="7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2"/>
    </row>
    <row r="615" spans="1:36" x14ac:dyDescent="0.3">
      <c r="A615" s="62"/>
      <c r="B615" s="11"/>
      <c r="C615" s="11"/>
      <c r="D615" s="11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1"/>
      <c r="S615" s="7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2"/>
    </row>
    <row r="616" spans="1:36" x14ac:dyDescent="0.3">
      <c r="A616" s="62"/>
      <c r="B616" s="11"/>
      <c r="C616" s="11"/>
      <c r="D616" s="11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1"/>
      <c r="S616" s="7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2"/>
    </row>
    <row r="617" spans="1:36" x14ac:dyDescent="0.3">
      <c r="A617" s="62"/>
      <c r="B617" s="11"/>
      <c r="C617" s="11"/>
      <c r="D617" s="11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1"/>
      <c r="S617" s="7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2"/>
    </row>
    <row r="618" spans="1:36" x14ac:dyDescent="0.3">
      <c r="A618" s="62"/>
      <c r="B618" s="11"/>
      <c r="C618" s="11"/>
      <c r="D618" s="11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/>
      <c r="S618" s="7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2"/>
    </row>
    <row r="619" spans="1:36" x14ac:dyDescent="0.3">
      <c r="A619" s="62"/>
      <c r="B619" s="11"/>
      <c r="C619" s="11"/>
      <c r="D619" s="11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/>
      <c r="S619" s="7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2"/>
    </row>
    <row r="620" spans="1:36" x14ac:dyDescent="0.3">
      <c r="A620" s="62"/>
      <c r="B620" s="11"/>
      <c r="C620" s="11"/>
      <c r="D620" s="11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/>
      <c r="S620" s="7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2"/>
    </row>
    <row r="621" spans="1:36" x14ac:dyDescent="0.3">
      <c r="A621" s="62"/>
      <c r="B621" s="11"/>
      <c r="C621" s="11"/>
      <c r="D621" s="1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1"/>
      <c r="S621" s="7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2"/>
    </row>
    <row r="622" spans="1:36" x14ac:dyDescent="0.3">
      <c r="A622" s="62"/>
      <c r="B622" s="11"/>
      <c r="C622" s="11"/>
      <c r="D622" s="11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1"/>
      <c r="S622" s="7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2"/>
    </row>
    <row r="623" spans="1:36" x14ac:dyDescent="0.3">
      <c r="A623" s="62"/>
      <c r="B623" s="11"/>
      <c r="C623" s="11"/>
      <c r="D623" s="11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1"/>
      <c r="S623" s="7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2"/>
    </row>
    <row r="624" spans="1:36" x14ac:dyDescent="0.3">
      <c r="A624" s="62"/>
      <c r="B624" s="11"/>
      <c r="C624" s="11"/>
      <c r="D624" s="1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1"/>
      <c r="S624" s="7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2"/>
    </row>
    <row r="625" spans="1:36" x14ac:dyDescent="0.3">
      <c r="A625" s="62"/>
      <c r="B625" s="11"/>
      <c r="C625" s="11"/>
      <c r="D625" s="1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1"/>
      <c r="S625" s="7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2"/>
    </row>
    <row r="626" spans="1:36" x14ac:dyDescent="0.3">
      <c r="A626" s="62"/>
      <c r="B626" s="11"/>
      <c r="C626" s="11"/>
      <c r="D626" s="1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1"/>
      <c r="S626" s="7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2"/>
    </row>
    <row r="627" spans="1:36" x14ac:dyDescent="0.3">
      <c r="A627" s="62"/>
      <c r="B627" s="11"/>
      <c r="C627" s="11"/>
      <c r="D627" s="11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1"/>
      <c r="S627" s="7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2"/>
    </row>
    <row r="628" spans="1:36" x14ac:dyDescent="0.3">
      <c r="A628" s="62"/>
      <c r="B628" s="11"/>
      <c r="C628" s="11"/>
      <c r="D628" s="11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1"/>
      <c r="S628" s="7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2"/>
    </row>
    <row r="629" spans="1:36" x14ac:dyDescent="0.3">
      <c r="A629" s="62"/>
      <c r="B629" s="11"/>
      <c r="C629" s="11"/>
      <c r="D629" s="11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1"/>
      <c r="S629" s="7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2"/>
    </row>
    <row r="630" spans="1:36" x14ac:dyDescent="0.3">
      <c r="A630" s="62"/>
      <c r="B630" s="11"/>
      <c r="C630" s="11"/>
      <c r="D630" s="11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1"/>
      <c r="S630" s="7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2"/>
    </row>
    <row r="631" spans="1:36" x14ac:dyDescent="0.3">
      <c r="A631" s="62"/>
      <c r="B631" s="11"/>
      <c r="C631" s="11"/>
      <c r="D631" s="11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1"/>
      <c r="S631" s="7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2"/>
    </row>
    <row r="632" spans="1:36" x14ac:dyDescent="0.3">
      <c r="A632" s="62"/>
      <c r="B632" s="11"/>
      <c r="C632" s="11"/>
      <c r="D632" s="11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1"/>
      <c r="S632" s="7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2"/>
    </row>
    <row r="633" spans="1:36" x14ac:dyDescent="0.3">
      <c r="A633" s="62"/>
      <c r="B633" s="11"/>
      <c r="C633" s="11"/>
      <c r="D633" s="11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1"/>
      <c r="S633" s="7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2"/>
    </row>
    <row r="634" spans="1:36" x14ac:dyDescent="0.3">
      <c r="A634" s="62"/>
      <c r="B634" s="11"/>
      <c r="C634" s="11"/>
      <c r="D634" s="11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1"/>
      <c r="S634" s="7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2"/>
    </row>
    <row r="635" spans="1:36" x14ac:dyDescent="0.3">
      <c r="A635" s="62"/>
      <c r="B635" s="11"/>
      <c r="C635" s="11"/>
      <c r="D635" s="11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1"/>
      <c r="S635" s="7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2"/>
    </row>
    <row r="636" spans="1:36" x14ac:dyDescent="0.3">
      <c r="A636" s="62"/>
      <c r="B636" s="11"/>
      <c r="C636" s="11"/>
      <c r="D636" s="11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/>
      <c r="S636" s="7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2"/>
    </row>
    <row r="637" spans="1:36" x14ac:dyDescent="0.3">
      <c r="A637" s="62"/>
      <c r="B637" s="11"/>
      <c r="C637" s="11"/>
      <c r="D637" s="11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/>
      <c r="S637" s="7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2"/>
    </row>
    <row r="638" spans="1:36" x14ac:dyDescent="0.3">
      <c r="A638" s="62"/>
      <c r="B638" s="11"/>
      <c r="C638" s="11"/>
      <c r="D638" s="11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/>
      <c r="S638" s="7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2"/>
    </row>
    <row r="639" spans="1:36" x14ac:dyDescent="0.3">
      <c r="A639" s="62"/>
      <c r="B639" s="11"/>
      <c r="C639" s="11"/>
      <c r="D639" s="11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1"/>
      <c r="S639" s="7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2"/>
    </row>
    <row r="640" spans="1:36" x14ac:dyDescent="0.3">
      <c r="A640" s="62"/>
      <c r="B640" s="11"/>
      <c r="C640" s="11"/>
      <c r="D640" s="11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1"/>
      <c r="S640" s="7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2"/>
    </row>
    <row r="641" spans="1:36" x14ac:dyDescent="0.3">
      <c r="A641" s="62"/>
      <c r="B641" s="11"/>
      <c r="C641" s="11"/>
      <c r="D641" s="11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1"/>
      <c r="S641" s="7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2"/>
    </row>
    <row r="642" spans="1:36" x14ac:dyDescent="0.3">
      <c r="A642" s="62"/>
      <c r="B642" s="11"/>
      <c r="C642" s="11"/>
      <c r="D642" s="11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1"/>
      <c r="S642" s="7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2"/>
    </row>
    <row r="643" spans="1:36" x14ac:dyDescent="0.3">
      <c r="A643" s="62"/>
      <c r="B643" s="11"/>
      <c r="C643" s="11"/>
      <c r="D643" s="11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1"/>
      <c r="S643" s="7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2"/>
    </row>
    <row r="644" spans="1:36" x14ac:dyDescent="0.3">
      <c r="A644" s="62"/>
      <c r="B644" s="11"/>
      <c r="C644" s="11"/>
      <c r="D644" s="11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1"/>
      <c r="S644" s="7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2"/>
    </row>
    <row r="645" spans="1:36" x14ac:dyDescent="0.3">
      <c r="A645" s="62"/>
      <c r="B645" s="11"/>
      <c r="C645" s="11"/>
      <c r="D645" s="11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1"/>
      <c r="S645" s="7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2"/>
    </row>
    <row r="646" spans="1:36" x14ac:dyDescent="0.3">
      <c r="A646" s="62"/>
      <c r="B646" s="11"/>
      <c r="C646" s="11"/>
      <c r="D646" s="11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1"/>
      <c r="S646" s="7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2"/>
    </row>
    <row r="647" spans="1:36" x14ac:dyDescent="0.3">
      <c r="A647" s="62"/>
      <c r="B647" s="11"/>
      <c r="C647" s="11"/>
      <c r="D647" s="11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1"/>
      <c r="S647" s="7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2"/>
    </row>
    <row r="648" spans="1:36" x14ac:dyDescent="0.3">
      <c r="A648" s="62"/>
      <c r="B648" s="11"/>
      <c r="C648" s="11"/>
      <c r="D648" s="11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1"/>
      <c r="S648" s="7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2"/>
    </row>
    <row r="649" spans="1:36" x14ac:dyDescent="0.3">
      <c r="A649" s="62"/>
      <c r="B649" s="11"/>
      <c r="C649" s="11"/>
      <c r="D649" s="11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1"/>
      <c r="S649" s="7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2"/>
    </row>
    <row r="650" spans="1:36" x14ac:dyDescent="0.3">
      <c r="A650" s="62"/>
      <c r="B650" s="11"/>
      <c r="C650" s="11"/>
      <c r="D650" s="11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1"/>
      <c r="S650" s="7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2"/>
    </row>
    <row r="651" spans="1:36" x14ac:dyDescent="0.3">
      <c r="A651" s="62"/>
      <c r="B651" s="11"/>
      <c r="C651" s="11"/>
      <c r="D651" s="11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1"/>
      <c r="S651" s="7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2"/>
    </row>
    <row r="652" spans="1:36" x14ac:dyDescent="0.3">
      <c r="A652" s="62"/>
      <c r="B652" s="11"/>
      <c r="C652" s="11"/>
      <c r="D652" s="11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1"/>
      <c r="S652" s="7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2"/>
    </row>
    <row r="653" spans="1:36" x14ac:dyDescent="0.3">
      <c r="A653" s="62"/>
      <c r="B653" s="11"/>
      <c r="C653" s="11"/>
      <c r="D653" s="11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1"/>
      <c r="S653" s="7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2"/>
    </row>
    <row r="654" spans="1:36" x14ac:dyDescent="0.3">
      <c r="A654" s="62"/>
      <c r="B654" s="11"/>
      <c r="C654" s="11"/>
      <c r="D654" s="11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1"/>
      <c r="S654" s="7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2"/>
    </row>
    <row r="655" spans="1:36" x14ac:dyDescent="0.3">
      <c r="A655" s="62"/>
      <c r="B655" s="11"/>
      <c r="C655" s="11"/>
      <c r="D655" s="11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1"/>
      <c r="S655" s="7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2"/>
    </row>
    <row r="656" spans="1:36" x14ac:dyDescent="0.3">
      <c r="A656" s="62"/>
      <c r="B656" s="11"/>
      <c r="C656" s="11"/>
      <c r="D656" s="11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1"/>
      <c r="S656" s="7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2"/>
    </row>
    <row r="657" spans="1:36" x14ac:dyDescent="0.3">
      <c r="A657" s="62"/>
      <c r="B657" s="11"/>
      <c r="C657" s="11"/>
      <c r="D657" s="11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1"/>
      <c r="S657" s="7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2"/>
    </row>
    <row r="658" spans="1:36" x14ac:dyDescent="0.3">
      <c r="A658" s="62"/>
      <c r="B658" s="11"/>
      <c r="C658" s="11"/>
      <c r="D658" s="11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1"/>
      <c r="S658" s="7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2"/>
    </row>
    <row r="659" spans="1:36" x14ac:dyDescent="0.3">
      <c r="A659" s="62"/>
      <c r="B659" s="11"/>
      <c r="C659" s="11"/>
      <c r="D659" s="11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1"/>
      <c r="S659" s="7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2"/>
    </row>
    <row r="660" spans="1:36" x14ac:dyDescent="0.3">
      <c r="A660" s="62"/>
      <c r="B660" s="11"/>
      <c r="C660" s="11"/>
      <c r="D660" s="11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1"/>
      <c r="S660" s="7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2"/>
    </row>
    <row r="661" spans="1:36" x14ac:dyDescent="0.3">
      <c r="A661" s="62"/>
      <c r="B661" s="11"/>
      <c r="C661" s="11"/>
      <c r="D661" s="11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1"/>
      <c r="S661" s="7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2"/>
    </row>
    <row r="662" spans="1:36" x14ac:dyDescent="0.3">
      <c r="A662" s="62"/>
      <c r="B662" s="11"/>
      <c r="C662" s="11"/>
      <c r="D662" s="11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1"/>
      <c r="S662" s="7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2"/>
    </row>
    <row r="663" spans="1:36" x14ac:dyDescent="0.3">
      <c r="A663" s="62"/>
      <c r="B663" s="11"/>
      <c r="C663" s="11"/>
      <c r="D663" s="11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1"/>
      <c r="S663" s="7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2"/>
    </row>
    <row r="664" spans="1:36" x14ac:dyDescent="0.3">
      <c r="A664" s="62"/>
      <c r="B664" s="11"/>
      <c r="C664" s="11"/>
      <c r="D664" s="11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1"/>
      <c r="S664" s="7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2"/>
    </row>
    <row r="665" spans="1:36" x14ac:dyDescent="0.3">
      <c r="A665" s="62"/>
      <c r="B665" s="11"/>
      <c r="C665" s="11"/>
      <c r="D665" s="11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1"/>
      <c r="S665" s="7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2"/>
    </row>
    <row r="666" spans="1:36" x14ac:dyDescent="0.3">
      <c r="A666" s="62"/>
      <c r="B666" s="11"/>
      <c r="C666" s="11"/>
      <c r="D666" s="11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1"/>
      <c r="S666" s="7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2"/>
    </row>
    <row r="667" spans="1:36" x14ac:dyDescent="0.3">
      <c r="A667" s="62"/>
      <c r="B667" s="11"/>
      <c r="C667" s="11"/>
      <c r="D667" s="11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1"/>
      <c r="S667" s="7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2"/>
    </row>
    <row r="668" spans="1:36" x14ac:dyDescent="0.3">
      <c r="A668" s="62"/>
      <c r="B668" s="11"/>
      <c r="C668" s="11"/>
      <c r="D668" s="11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1"/>
      <c r="S668" s="7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2"/>
    </row>
    <row r="669" spans="1:36" x14ac:dyDescent="0.3">
      <c r="A669" s="62"/>
      <c r="B669" s="11"/>
      <c r="C669" s="11"/>
      <c r="D669" s="11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1"/>
      <c r="S669" s="7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2"/>
    </row>
    <row r="670" spans="1:36" x14ac:dyDescent="0.3">
      <c r="A670" s="62"/>
      <c r="B670" s="11"/>
      <c r="C670" s="11"/>
      <c r="D670" s="11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1"/>
      <c r="S670" s="7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2"/>
    </row>
    <row r="671" spans="1:36" x14ac:dyDescent="0.3">
      <c r="A671" s="62"/>
      <c r="B671" s="11"/>
      <c r="C671" s="11"/>
      <c r="D671" s="11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1"/>
      <c r="S671" s="7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2"/>
    </row>
    <row r="672" spans="1:36" x14ac:dyDescent="0.3">
      <c r="A672" s="62"/>
      <c r="B672" s="11"/>
      <c r="C672" s="11"/>
      <c r="D672" s="11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1"/>
      <c r="S672" s="7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2"/>
    </row>
    <row r="673" spans="1:36" x14ac:dyDescent="0.3">
      <c r="A673" s="62"/>
      <c r="B673" s="11"/>
      <c r="C673" s="11"/>
      <c r="D673" s="11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1"/>
      <c r="S673" s="7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2"/>
    </row>
    <row r="674" spans="1:36" x14ac:dyDescent="0.3">
      <c r="A674" s="62"/>
      <c r="B674" s="11"/>
      <c r="C674" s="11"/>
      <c r="D674" s="11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1"/>
      <c r="S674" s="7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2"/>
    </row>
    <row r="675" spans="1:36" x14ac:dyDescent="0.3">
      <c r="A675" s="62"/>
      <c r="B675" s="11"/>
      <c r="C675" s="11"/>
      <c r="D675" s="11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1"/>
      <c r="S675" s="7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2"/>
    </row>
    <row r="676" spans="1:36" x14ac:dyDescent="0.3">
      <c r="A676" s="62"/>
      <c r="B676" s="11"/>
      <c r="C676" s="11"/>
      <c r="D676" s="11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1"/>
      <c r="S676" s="7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2"/>
    </row>
    <row r="677" spans="1:36" x14ac:dyDescent="0.3">
      <c r="A677" s="62"/>
      <c r="B677" s="11"/>
      <c r="C677" s="11"/>
      <c r="D677" s="11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1"/>
      <c r="S677" s="7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2"/>
    </row>
    <row r="678" spans="1:36" x14ac:dyDescent="0.3">
      <c r="A678" s="62"/>
      <c r="B678" s="11"/>
      <c r="C678" s="11"/>
      <c r="D678" s="11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1"/>
      <c r="S678" s="7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2"/>
    </row>
    <row r="679" spans="1:36" x14ac:dyDescent="0.3">
      <c r="A679" s="62"/>
      <c r="B679" s="11"/>
      <c r="C679" s="11"/>
      <c r="D679" s="11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1"/>
      <c r="S679" s="7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2"/>
    </row>
    <row r="680" spans="1:36" x14ac:dyDescent="0.3">
      <c r="A680" s="62"/>
      <c r="B680" s="11"/>
      <c r="C680" s="11"/>
      <c r="D680" s="11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1"/>
      <c r="S680" s="7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2"/>
    </row>
    <row r="681" spans="1:36" x14ac:dyDescent="0.3">
      <c r="A681" s="62"/>
      <c r="B681" s="11"/>
      <c r="C681" s="11"/>
      <c r="D681" s="11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1"/>
      <c r="S681" s="7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2"/>
    </row>
    <row r="682" spans="1:36" x14ac:dyDescent="0.3">
      <c r="A682" s="62"/>
      <c r="B682" s="11"/>
      <c r="C682" s="11"/>
      <c r="D682" s="11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1"/>
      <c r="S682" s="7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2"/>
    </row>
    <row r="683" spans="1:36" x14ac:dyDescent="0.3">
      <c r="A683" s="62"/>
      <c r="B683" s="11"/>
      <c r="C683" s="11"/>
      <c r="D683" s="11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1"/>
      <c r="S683" s="7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2"/>
    </row>
    <row r="684" spans="1:36" x14ac:dyDescent="0.3">
      <c r="A684" s="62"/>
      <c r="B684" s="11"/>
      <c r="C684" s="11"/>
      <c r="D684" s="11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1"/>
      <c r="S684" s="7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2"/>
    </row>
    <row r="685" spans="1:36" x14ac:dyDescent="0.3">
      <c r="A685" s="62"/>
      <c r="B685" s="11"/>
      <c r="C685" s="11"/>
      <c r="D685" s="11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1"/>
      <c r="S685" s="7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2"/>
    </row>
    <row r="686" spans="1:36" x14ac:dyDescent="0.3">
      <c r="A686" s="62"/>
      <c r="B686" s="11"/>
      <c r="C686" s="11"/>
      <c r="D686" s="11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1"/>
      <c r="S686" s="7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2"/>
    </row>
    <row r="687" spans="1:36" x14ac:dyDescent="0.3">
      <c r="A687" s="62"/>
      <c r="B687" s="11"/>
      <c r="C687" s="11"/>
      <c r="D687" s="11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1"/>
      <c r="S687" s="7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2"/>
    </row>
    <row r="688" spans="1:36" x14ac:dyDescent="0.3">
      <c r="A688" s="62"/>
      <c r="B688" s="11"/>
      <c r="C688" s="11"/>
      <c r="D688" s="11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1"/>
      <c r="S688" s="7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2"/>
    </row>
    <row r="689" spans="1:36" x14ac:dyDescent="0.3">
      <c r="A689" s="62"/>
      <c r="B689" s="11"/>
      <c r="C689" s="11"/>
      <c r="D689" s="11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1"/>
      <c r="S689" s="7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2"/>
    </row>
    <row r="690" spans="1:36" x14ac:dyDescent="0.3">
      <c r="A690" s="62"/>
      <c r="B690" s="11"/>
      <c r="C690" s="11"/>
      <c r="D690" s="11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1"/>
      <c r="S690" s="7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2"/>
    </row>
    <row r="691" spans="1:36" x14ac:dyDescent="0.3">
      <c r="A691" s="62"/>
      <c r="B691" s="11"/>
      <c r="C691" s="11"/>
      <c r="D691" s="11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1"/>
      <c r="S691" s="7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2"/>
    </row>
    <row r="692" spans="1:36" x14ac:dyDescent="0.3">
      <c r="A692" s="62"/>
      <c r="B692" s="11"/>
      <c r="C692" s="11"/>
      <c r="D692" s="11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1"/>
      <c r="S692" s="7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2"/>
    </row>
    <row r="693" spans="1:36" x14ac:dyDescent="0.3">
      <c r="A693" s="62"/>
      <c r="B693" s="11"/>
      <c r="C693" s="11"/>
      <c r="D693" s="11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1"/>
      <c r="S693" s="7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2"/>
    </row>
    <row r="694" spans="1:36" x14ac:dyDescent="0.3">
      <c r="A694" s="62"/>
      <c r="B694" s="11"/>
      <c r="C694" s="11"/>
      <c r="D694" s="11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1"/>
      <c r="S694" s="7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2"/>
    </row>
    <row r="695" spans="1:36" x14ac:dyDescent="0.3">
      <c r="A695" s="62"/>
      <c r="B695" s="11"/>
      <c r="C695" s="11"/>
      <c r="D695" s="11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1"/>
      <c r="S695" s="7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2"/>
    </row>
    <row r="696" spans="1:36" x14ac:dyDescent="0.3">
      <c r="A696" s="62"/>
      <c r="B696" s="11"/>
      <c r="C696" s="11"/>
      <c r="D696" s="11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1"/>
      <c r="S696" s="7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2"/>
    </row>
    <row r="697" spans="1:36" x14ac:dyDescent="0.3">
      <c r="A697" s="62"/>
      <c r="B697" s="11"/>
      <c r="C697" s="11"/>
      <c r="D697" s="11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1"/>
      <c r="S697" s="7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2"/>
    </row>
    <row r="698" spans="1:36" x14ac:dyDescent="0.3">
      <c r="A698" s="62"/>
      <c r="B698" s="11"/>
      <c r="C698" s="11"/>
      <c r="D698" s="11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1"/>
      <c r="S698" s="7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2"/>
    </row>
    <row r="699" spans="1:36" x14ac:dyDescent="0.3">
      <c r="A699" s="62"/>
      <c r="B699" s="11"/>
      <c r="C699" s="11"/>
      <c r="D699" s="11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1"/>
      <c r="S699" s="7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2"/>
    </row>
    <row r="700" spans="1:36" x14ac:dyDescent="0.3">
      <c r="A700" s="62"/>
      <c r="B700" s="11"/>
      <c r="C700" s="11"/>
      <c r="D700" s="11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1"/>
      <c r="S700" s="7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2"/>
    </row>
    <row r="701" spans="1:36" x14ac:dyDescent="0.3">
      <c r="A701" s="62"/>
      <c r="B701" s="11"/>
      <c r="C701" s="11"/>
      <c r="D701" s="11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1"/>
      <c r="S701" s="7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2"/>
    </row>
    <row r="702" spans="1:36" x14ac:dyDescent="0.3">
      <c r="A702" s="62"/>
      <c r="B702" s="11"/>
      <c r="C702" s="11"/>
      <c r="D702" s="11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1"/>
      <c r="S702" s="7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2"/>
    </row>
    <row r="703" spans="1:36" x14ac:dyDescent="0.3">
      <c r="A703" s="62"/>
      <c r="B703" s="11"/>
      <c r="C703" s="11"/>
      <c r="D703" s="11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1"/>
      <c r="S703" s="7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2"/>
    </row>
    <row r="704" spans="1:36" x14ac:dyDescent="0.3">
      <c r="A704" s="62"/>
      <c r="B704" s="11"/>
      <c r="C704" s="11"/>
      <c r="D704" s="11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1"/>
      <c r="S704" s="7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2"/>
    </row>
    <row r="705" spans="1:36" x14ac:dyDescent="0.3">
      <c r="A705" s="62"/>
      <c r="B705" s="11"/>
      <c r="C705" s="11"/>
      <c r="D705" s="11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1"/>
      <c r="S705" s="7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2"/>
    </row>
    <row r="706" spans="1:36" x14ac:dyDescent="0.3">
      <c r="A706" s="62"/>
      <c r="B706" s="11"/>
      <c r="C706" s="11"/>
      <c r="D706" s="11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1"/>
      <c r="S706" s="7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2"/>
    </row>
    <row r="707" spans="1:36" x14ac:dyDescent="0.3">
      <c r="A707" s="62"/>
      <c r="B707" s="11"/>
      <c r="C707" s="11"/>
      <c r="D707" s="11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1"/>
      <c r="S707" s="7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2"/>
    </row>
    <row r="708" spans="1:36" x14ac:dyDescent="0.3">
      <c r="A708" s="62"/>
      <c r="B708" s="11"/>
      <c r="C708" s="11"/>
      <c r="D708" s="11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1"/>
      <c r="S708" s="7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2"/>
    </row>
    <row r="709" spans="1:36" x14ac:dyDescent="0.3">
      <c r="A709" s="62"/>
      <c r="B709" s="11"/>
      <c r="C709" s="11"/>
      <c r="D709" s="11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1"/>
      <c r="S709" s="7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2"/>
    </row>
    <row r="710" spans="1:36" x14ac:dyDescent="0.3">
      <c r="A710" s="62"/>
      <c r="B710" s="11"/>
      <c r="C710" s="11"/>
      <c r="D710" s="11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1"/>
      <c r="S710" s="7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2"/>
    </row>
    <row r="711" spans="1:36" x14ac:dyDescent="0.3">
      <c r="A711" s="62"/>
      <c r="B711" s="11"/>
      <c r="C711" s="11"/>
      <c r="D711" s="11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1"/>
      <c r="S711" s="7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2"/>
    </row>
    <row r="712" spans="1:36" x14ac:dyDescent="0.3">
      <c r="A712" s="62"/>
      <c r="B712" s="11"/>
      <c r="C712" s="11"/>
      <c r="D712" s="11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1"/>
      <c r="S712" s="7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2"/>
    </row>
    <row r="713" spans="1:36" x14ac:dyDescent="0.3">
      <c r="A713" s="62"/>
      <c r="B713" s="11"/>
      <c r="C713" s="11"/>
      <c r="D713" s="11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1"/>
      <c r="S713" s="7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2"/>
    </row>
    <row r="714" spans="1:36" x14ac:dyDescent="0.3">
      <c r="A714" s="62"/>
      <c r="B714" s="11"/>
      <c r="C714" s="11"/>
      <c r="D714" s="11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1"/>
      <c r="S714" s="7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2"/>
    </row>
    <row r="715" spans="1:36" x14ac:dyDescent="0.3">
      <c r="A715" s="62"/>
      <c r="B715" s="11"/>
      <c r="C715" s="11"/>
      <c r="D715" s="11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1"/>
      <c r="S715" s="7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2"/>
    </row>
    <row r="716" spans="1:36" x14ac:dyDescent="0.3">
      <c r="A716" s="62"/>
      <c r="B716" s="11"/>
      <c r="C716" s="11"/>
      <c r="D716" s="11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1"/>
      <c r="S716" s="7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2"/>
    </row>
    <row r="717" spans="1:36" x14ac:dyDescent="0.3">
      <c r="A717" s="62"/>
      <c r="B717" s="11"/>
      <c r="C717" s="11"/>
      <c r="D717" s="11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1"/>
      <c r="S717" s="7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2"/>
    </row>
    <row r="718" spans="1:36" x14ac:dyDescent="0.3">
      <c r="A718" s="62"/>
      <c r="B718" s="11"/>
      <c r="C718" s="11"/>
      <c r="D718" s="11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1"/>
      <c r="S718" s="7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2"/>
    </row>
    <row r="719" spans="1:36" x14ac:dyDescent="0.3">
      <c r="A719" s="62"/>
      <c r="B719" s="11"/>
      <c r="C719" s="11"/>
      <c r="D719" s="11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1"/>
      <c r="S719" s="7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2"/>
    </row>
    <row r="720" spans="1:36" x14ac:dyDescent="0.3">
      <c r="A720" s="62"/>
      <c r="B720" s="11"/>
      <c r="C720" s="11"/>
      <c r="D720" s="11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1"/>
      <c r="S720" s="7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2"/>
    </row>
    <row r="721" spans="1:36" x14ac:dyDescent="0.3">
      <c r="A721" s="62"/>
      <c r="B721" s="11"/>
      <c r="C721" s="11"/>
      <c r="D721" s="11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1"/>
      <c r="S721" s="7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2"/>
    </row>
    <row r="722" spans="1:36" x14ac:dyDescent="0.3">
      <c r="A722" s="62"/>
      <c r="B722" s="11"/>
      <c r="C722" s="11"/>
      <c r="D722" s="11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1"/>
      <c r="S722" s="7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2"/>
    </row>
    <row r="723" spans="1:36" x14ac:dyDescent="0.3">
      <c r="A723" s="62"/>
      <c r="B723" s="11"/>
      <c r="C723" s="11"/>
      <c r="D723" s="11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1"/>
      <c r="S723" s="7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2"/>
    </row>
    <row r="724" spans="1:36" x14ac:dyDescent="0.3">
      <c r="A724" s="62"/>
      <c r="B724" s="11"/>
      <c r="C724" s="11"/>
      <c r="D724" s="11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1"/>
      <c r="S724" s="7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2"/>
    </row>
    <row r="725" spans="1:36" x14ac:dyDescent="0.3">
      <c r="A725" s="62"/>
      <c r="B725" s="11"/>
      <c r="C725" s="11"/>
      <c r="D725" s="11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1"/>
      <c r="S725" s="7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2"/>
    </row>
    <row r="726" spans="1:36" x14ac:dyDescent="0.3">
      <c r="A726" s="62"/>
      <c r="B726" s="11"/>
      <c r="C726" s="11"/>
      <c r="D726" s="11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1"/>
      <c r="S726" s="7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2"/>
    </row>
    <row r="727" spans="1:36" x14ac:dyDescent="0.3">
      <c r="A727" s="62"/>
      <c r="B727" s="11"/>
      <c r="C727" s="11"/>
      <c r="D727" s="11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1"/>
      <c r="S727" s="7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2"/>
    </row>
    <row r="728" spans="1:36" x14ac:dyDescent="0.3">
      <c r="A728" s="62"/>
      <c r="B728" s="11"/>
      <c r="C728" s="11"/>
      <c r="D728" s="11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1"/>
      <c r="S728" s="7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2"/>
    </row>
    <row r="729" spans="1:36" x14ac:dyDescent="0.3">
      <c r="A729" s="62"/>
      <c r="B729" s="11"/>
      <c r="C729" s="11"/>
      <c r="D729" s="11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1"/>
      <c r="S729" s="7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2"/>
    </row>
    <row r="730" spans="1:36" x14ac:dyDescent="0.3">
      <c r="A730" s="62"/>
      <c r="B730" s="11"/>
      <c r="C730" s="11"/>
      <c r="D730" s="11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1"/>
      <c r="S730" s="7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2"/>
    </row>
    <row r="731" spans="1:36" x14ac:dyDescent="0.3">
      <c r="A731" s="62"/>
      <c r="B731" s="11"/>
      <c r="C731" s="11"/>
      <c r="D731" s="11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1"/>
      <c r="S731" s="7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2"/>
    </row>
    <row r="732" spans="1:36" x14ac:dyDescent="0.3">
      <c r="A732" s="62"/>
      <c r="B732" s="11"/>
      <c r="C732" s="11"/>
      <c r="D732" s="11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1"/>
      <c r="S732" s="7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2"/>
    </row>
    <row r="733" spans="1:36" x14ac:dyDescent="0.3">
      <c r="A733" s="62"/>
      <c r="B733" s="11"/>
      <c r="C733" s="11"/>
      <c r="D733" s="11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1"/>
      <c r="S733" s="7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2"/>
    </row>
    <row r="734" spans="1:36" x14ac:dyDescent="0.3">
      <c r="A734" s="62"/>
      <c r="B734" s="11"/>
      <c r="C734" s="11"/>
      <c r="D734" s="11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1"/>
      <c r="S734" s="7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2"/>
    </row>
    <row r="735" spans="1:36" x14ac:dyDescent="0.3">
      <c r="A735" s="62"/>
      <c r="B735" s="11"/>
      <c r="C735" s="11"/>
      <c r="D735" s="11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1"/>
      <c r="S735" s="7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2"/>
    </row>
    <row r="736" spans="1:36" x14ac:dyDescent="0.3">
      <c r="A736" s="62"/>
      <c r="B736" s="11"/>
      <c r="C736" s="11"/>
      <c r="D736" s="11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1"/>
      <c r="S736" s="7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2"/>
    </row>
    <row r="737" spans="1:36" x14ac:dyDescent="0.3">
      <c r="A737" s="62"/>
      <c r="B737" s="11"/>
      <c r="C737" s="11"/>
      <c r="D737" s="11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1"/>
      <c r="S737" s="7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2"/>
    </row>
    <row r="738" spans="1:36" x14ac:dyDescent="0.3">
      <c r="A738" s="62"/>
      <c r="B738" s="11"/>
      <c r="C738" s="11"/>
      <c r="D738" s="11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1"/>
      <c r="S738" s="7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2"/>
    </row>
    <row r="739" spans="1:36" x14ac:dyDescent="0.3">
      <c r="A739" s="62"/>
      <c r="B739" s="11"/>
      <c r="C739" s="11"/>
      <c r="D739" s="11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1"/>
      <c r="S739" s="7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2"/>
    </row>
    <row r="740" spans="1:36" x14ac:dyDescent="0.3">
      <c r="A740" s="62"/>
      <c r="B740" s="11"/>
      <c r="C740" s="11"/>
      <c r="D740" s="11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1"/>
      <c r="S740" s="7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2"/>
    </row>
    <row r="741" spans="1:36" x14ac:dyDescent="0.3">
      <c r="A741" s="62"/>
      <c r="B741" s="11"/>
      <c r="C741" s="11"/>
      <c r="D741" s="11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1"/>
      <c r="S741" s="7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2"/>
    </row>
    <row r="742" spans="1:36" x14ac:dyDescent="0.3">
      <c r="A742" s="62"/>
      <c r="B742" s="11"/>
      <c r="C742" s="11"/>
      <c r="D742" s="11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1"/>
      <c r="S742" s="7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2"/>
    </row>
    <row r="743" spans="1:36" x14ac:dyDescent="0.3">
      <c r="A743" s="62"/>
      <c r="B743" s="11"/>
      <c r="C743" s="11"/>
      <c r="D743" s="11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1"/>
      <c r="S743" s="7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2"/>
    </row>
    <row r="744" spans="1:36" x14ac:dyDescent="0.3">
      <c r="A744" s="62"/>
      <c r="B744" s="11"/>
      <c r="C744" s="11"/>
      <c r="D744" s="11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1"/>
      <c r="S744" s="7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2"/>
    </row>
    <row r="745" spans="1:36" x14ac:dyDescent="0.3">
      <c r="A745" s="62"/>
      <c r="B745" s="11"/>
      <c r="C745" s="11"/>
      <c r="D745" s="11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1"/>
      <c r="S745" s="7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2"/>
    </row>
    <row r="746" spans="1:36" x14ac:dyDescent="0.3">
      <c r="A746" s="62"/>
      <c r="B746" s="11"/>
      <c r="C746" s="11"/>
      <c r="D746" s="11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1"/>
      <c r="S746" s="7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2"/>
    </row>
    <row r="747" spans="1:36" x14ac:dyDescent="0.3">
      <c r="A747" s="62"/>
      <c r="B747" s="11"/>
      <c r="C747" s="11"/>
      <c r="D747" s="11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1"/>
      <c r="S747" s="7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2"/>
    </row>
    <row r="748" spans="1:36" x14ac:dyDescent="0.3">
      <c r="A748" s="62"/>
      <c r="B748" s="11"/>
      <c r="C748" s="11"/>
      <c r="D748" s="11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1"/>
      <c r="S748" s="7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2"/>
    </row>
    <row r="749" spans="1:36" x14ac:dyDescent="0.3">
      <c r="A749" s="62"/>
      <c r="B749" s="11"/>
      <c r="C749" s="11"/>
      <c r="D749" s="11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1"/>
      <c r="S749" s="7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2"/>
    </row>
    <row r="750" spans="1:36" x14ac:dyDescent="0.3">
      <c r="A750" s="62"/>
      <c r="B750" s="11"/>
      <c r="C750" s="11"/>
      <c r="D750" s="11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1"/>
      <c r="S750" s="7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2"/>
    </row>
    <row r="751" spans="1:36" x14ac:dyDescent="0.3">
      <c r="A751" s="62"/>
      <c r="B751" s="11"/>
      <c r="C751" s="11"/>
      <c r="D751" s="11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1"/>
      <c r="S751" s="7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2"/>
    </row>
    <row r="752" spans="1:36" x14ac:dyDescent="0.3">
      <c r="A752" s="62"/>
      <c r="B752" s="11"/>
      <c r="C752" s="11"/>
      <c r="D752" s="11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1"/>
      <c r="S752" s="7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2"/>
    </row>
    <row r="753" spans="1:36" x14ac:dyDescent="0.3">
      <c r="A753" s="62"/>
      <c r="B753" s="11"/>
      <c r="C753" s="11"/>
      <c r="D753" s="11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1"/>
      <c r="S753" s="7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2"/>
    </row>
    <row r="754" spans="1:36" x14ac:dyDescent="0.3">
      <c r="A754" s="62"/>
      <c r="B754" s="11"/>
      <c r="C754" s="11"/>
      <c r="D754" s="11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1"/>
      <c r="S754" s="7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2"/>
    </row>
    <row r="755" spans="1:36" x14ac:dyDescent="0.3">
      <c r="A755" s="62"/>
      <c r="B755" s="11"/>
      <c r="C755" s="11"/>
      <c r="D755" s="11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1"/>
      <c r="S755" s="7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2"/>
    </row>
    <row r="756" spans="1:36" x14ac:dyDescent="0.3">
      <c r="A756" s="62"/>
      <c r="B756" s="11"/>
      <c r="C756" s="11"/>
      <c r="D756" s="11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1"/>
      <c r="S756" s="7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2"/>
    </row>
    <row r="757" spans="1:36" x14ac:dyDescent="0.3">
      <c r="A757" s="62"/>
      <c r="B757" s="11"/>
      <c r="C757" s="11"/>
      <c r="D757" s="11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1"/>
      <c r="S757" s="7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2"/>
    </row>
    <row r="758" spans="1:36" x14ac:dyDescent="0.3">
      <c r="A758" s="62"/>
      <c r="B758" s="11"/>
      <c r="C758" s="11"/>
      <c r="D758" s="11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1"/>
      <c r="S758" s="7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2"/>
    </row>
    <row r="759" spans="1:36" x14ac:dyDescent="0.3">
      <c r="A759" s="62"/>
      <c r="B759" s="11"/>
      <c r="C759" s="11"/>
      <c r="D759" s="11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1"/>
      <c r="S759" s="7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2"/>
    </row>
    <row r="760" spans="1:36" x14ac:dyDescent="0.3">
      <c r="A760" s="62"/>
      <c r="B760" s="11"/>
      <c r="C760" s="11"/>
      <c r="D760" s="11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1"/>
      <c r="S760" s="7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2"/>
    </row>
    <row r="761" spans="1:36" x14ac:dyDescent="0.3">
      <c r="A761" s="62"/>
      <c r="B761" s="11"/>
      <c r="C761" s="11"/>
      <c r="D761" s="11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1"/>
      <c r="S761" s="7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2"/>
    </row>
    <row r="762" spans="1:36" x14ac:dyDescent="0.3">
      <c r="A762" s="62"/>
      <c r="B762" s="11"/>
      <c r="C762" s="11"/>
      <c r="D762" s="11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1"/>
      <c r="S762" s="7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2"/>
    </row>
    <row r="763" spans="1:36" x14ac:dyDescent="0.3">
      <c r="A763" s="62"/>
      <c r="B763" s="11"/>
      <c r="C763" s="11"/>
      <c r="D763" s="11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1"/>
      <c r="S763" s="7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2"/>
    </row>
    <row r="764" spans="1:36" x14ac:dyDescent="0.3">
      <c r="A764" s="62"/>
      <c r="B764" s="11"/>
      <c r="C764" s="11"/>
      <c r="D764" s="11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1"/>
      <c r="S764" s="7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2"/>
    </row>
    <row r="765" spans="1:36" x14ac:dyDescent="0.3">
      <c r="A765" s="62"/>
      <c r="B765" s="11"/>
      <c r="C765" s="11"/>
      <c r="D765" s="11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1"/>
      <c r="S765" s="7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2"/>
    </row>
    <row r="766" spans="1:36" x14ac:dyDescent="0.3">
      <c r="A766" s="62"/>
      <c r="B766" s="11"/>
      <c r="C766" s="11"/>
      <c r="D766" s="11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1"/>
      <c r="S766" s="7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2"/>
    </row>
    <row r="767" spans="1:36" x14ac:dyDescent="0.3">
      <c r="A767" s="62"/>
      <c r="B767" s="11"/>
      <c r="C767" s="11"/>
      <c r="D767" s="11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1"/>
      <c r="S767" s="7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2"/>
    </row>
    <row r="768" spans="1:36" x14ac:dyDescent="0.3">
      <c r="A768" s="62"/>
      <c r="B768" s="11"/>
      <c r="C768" s="11"/>
      <c r="D768" s="11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1"/>
      <c r="S768" s="7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2"/>
    </row>
    <row r="769" spans="1:36" x14ac:dyDescent="0.3">
      <c r="A769" s="62"/>
      <c r="B769" s="11"/>
      <c r="C769" s="11"/>
      <c r="D769" s="11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1"/>
      <c r="S769" s="7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2"/>
    </row>
    <row r="770" spans="1:36" x14ac:dyDescent="0.3">
      <c r="A770" s="62"/>
      <c r="B770" s="11"/>
      <c r="C770" s="11"/>
      <c r="D770" s="11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1"/>
      <c r="S770" s="7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2"/>
    </row>
    <row r="771" spans="1:36" x14ac:dyDescent="0.3">
      <c r="A771" s="62"/>
      <c r="B771" s="11"/>
      <c r="C771" s="11"/>
      <c r="D771" s="11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1"/>
      <c r="S771" s="7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2"/>
    </row>
    <row r="772" spans="1:36" x14ac:dyDescent="0.3">
      <c r="A772" s="62"/>
      <c r="B772" s="11"/>
      <c r="C772" s="11"/>
      <c r="D772" s="11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1"/>
      <c r="S772" s="7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2"/>
    </row>
    <row r="773" spans="1:36" x14ac:dyDescent="0.3">
      <c r="A773" s="62"/>
      <c r="B773" s="11"/>
      <c r="C773" s="11"/>
      <c r="D773" s="11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1"/>
      <c r="S773" s="7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2"/>
    </row>
    <row r="774" spans="1:36" x14ac:dyDescent="0.3">
      <c r="A774" s="62"/>
      <c r="B774" s="11"/>
      <c r="C774" s="11"/>
      <c r="D774" s="11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1"/>
      <c r="S774" s="7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2"/>
    </row>
    <row r="775" spans="1:36" x14ac:dyDescent="0.3">
      <c r="A775" s="62"/>
      <c r="B775" s="11"/>
      <c r="C775" s="11"/>
      <c r="D775" s="11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1"/>
      <c r="S775" s="7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2"/>
    </row>
    <row r="776" spans="1:36" x14ac:dyDescent="0.3">
      <c r="A776" s="62"/>
      <c r="B776" s="11"/>
      <c r="C776" s="11"/>
      <c r="D776" s="11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1"/>
      <c r="S776" s="7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2"/>
    </row>
    <row r="777" spans="1:36" x14ac:dyDescent="0.3">
      <c r="A777" s="62"/>
      <c r="B777" s="11"/>
      <c r="C777" s="11"/>
      <c r="D777" s="11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1"/>
      <c r="S777" s="7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2"/>
    </row>
    <row r="778" spans="1:36" x14ac:dyDescent="0.3">
      <c r="A778" s="62"/>
      <c r="B778" s="11"/>
      <c r="C778" s="11"/>
      <c r="D778" s="11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1"/>
      <c r="S778" s="7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2"/>
    </row>
    <row r="779" spans="1:36" x14ac:dyDescent="0.3">
      <c r="A779" s="62"/>
      <c r="B779" s="11"/>
      <c r="C779" s="11"/>
      <c r="D779" s="11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1"/>
      <c r="S779" s="7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2"/>
    </row>
    <row r="780" spans="1:36" x14ac:dyDescent="0.3">
      <c r="A780" s="62"/>
      <c r="B780" s="11"/>
      <c r="C780" s="11"/>
      <c r="D780" s="11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1"/>
      <c r="S780" s="7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2"/>
    </row>
    <row r="781" spans="1:36" x14ac:dyDescent="0.3">
      <c r="A781" s="62"/>
      <c r="B781" s="11"/>
      <c r="C781" s="11"/>
      <c r="D781" s="11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1"/>
      <c r="S781" s="7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2"/>
    </row>
    <row r="782" spans="1:36" x14ac:dyDescent="0.3">
      <c r="A782" s="62"/>
      <c r="B782" s="11"/>
      <c r="C782" s="11"/>
      <c r="D782" s="11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1"/>
      <c r="S782" s="7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2"/>
    </row>
    <row r="783" spans="1:36" x14ac:dyDescent="0.3">
      <c r="A783" s="62"/>
      <c r="B783" s="11"/>
      <c r="C783" s="11"/>
      <c r="D783" s="11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1"/>
      <c r="S783" s="7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2"/>
    </row>
    <row r="784" spans="1:36" x14ac:dyDescent="0.3">
      <c r="A784" s="62"/>
      <c r="B784" s="11"/>
      <c r="C784" s="11"/>
      <c r="D784" s="11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1"/>
      <c r="S784" s="7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2"/>
    </row>
    <row r="785" spans="1:36" x14ac:dyDescent="0.3">
      <c r="A785" s="62"/>
      <c r="B785" s="11"/>
      <c r="C785" s="11"/>
      <c r="D785" s="11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1"/>
      <c r="S785" s="7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2"/>
    </row>
    <row r="786" spans="1:36" x14ac:dyDescent="0.3">
      <c r="A786" s="62"/>
      <c r="B786" s="11"/>
      <c r="C786" s="11"/>
      <c r="D786" s="11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1"/>
      <c r="S786" s="7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2"/>
    </row>
    <row r="787" spans="1:36" x14ac:dyDescent="0.3">
      <c r="A787" s="62"/>
      <c r="B787" s="11"/>
      <c r="C787" s="11"/>
      <c r="D787" s="11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1"/>
      <c r="S787" s="7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2"/>
    </row>
    <row r="788" spans="1:36" x14ac:dyDescent="0.3">
      <c r="A788" s="62"/>
      <c r="B788" s="11"/>
      <c r="C788" s="11"/>
      <c r="D788" s="11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1"/>
      <c r="S788" s="7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2"/>
    </row>
    <row r="789" spans="1:36" x14ac:dyDescent="0.3">
      <c r="A789" s="62"/>
      <c r="B789" s="11"/>
      <c r="C789" s="11"/>
      <c r="D789" s="11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1"/>
      <c r="S789" s="7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2"/>
    </row>
    <row r="790" spans="1:36" x14ac:dyDescent="0.3">
      <c r="A790" s="62"/>
      <c r="B790" s="11"/>
      <c r="C790" s="11"/>
      <c r="D790" s="11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1"/>
      <c r="S790" s="7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2"/>
    </row>
    <row r="791" spans="1:36" x14ac:dyDescent="0.3">
      <c r="A791" s="62"/>
      <c r="B791" s="11"/>
      <c r="C791" s="11"/>
      <c r="D791" s="11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1"/>
      <c r="S791" s="7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2"/>
    </row>
    <row r="792" spans="1:36" x14ac:dyDescent="0.3">
      <c r="A792" s="62"/>
      <c r="B792" s="11"/>
      <c r="C792" s="11"/>
      <c r="D792" s="11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1"/>
      <c r="S792" s="7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2"/>
    </row>
    <row r="793" spans="1:36" x14ac:dyDescent="0.3">
      <c r="A793" s="62"/>
      <c r="B793" s="11"/>
      <c r="C793" s="11"/>
      <c r="D793" s="11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1"/>
      <c r="S793" s="7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2"/>
    </row>
    <row r="794" spans="1:36" x14ac:dyDescent="0.3">
      <c r="A794" s="62"/>
      <c r="B794" s="11"/>
      <c r="C794" s="11"/>
      <c r="D794" s="11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1"/>
      <c r="S794" s="7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2"/>
    </row>
    <row r="795" spans="1:36" x14ac:dyDescent="0.3">
      <c r="A795" s="62"/>
      <c r="B795" s="11"/>
      <c r="C795" s="11"/>
      <c r="D795" s="11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1"/>
      <c r="S795" s="7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2"/>
    </row>
    <row r="796" spans="1:36" x14ac:dyDescent="0.3">
      <c r="A796" s="62"/>
      <c r="B796" s="11"/>
      <c r="C796" s="11"/>
      <c r="D796" s="11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1"/>
      <c r="S796" s="7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2"/>
    </row>
    <row r="797" spans="1:36" x14ac:dyDescent="0.3">
      <c r="A797" s="62"/>
      <c r="B797" s="11"/>
      <c r="C797" s="11"/>
      <c r="D797" s="11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1"/>
      <c r="S797" s="7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2"/>
    </row>
    <row r="798" spans="1:36" x14ac:dyDescent="0.3">
      <c r="A798" s="62"/>
      <c r="B798" s="11"/>
      <c r="C798" s="11"/>
      <c r="D798" s="11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1"/>
      <c r="S798" s="7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2"/>
    </row>
    <row r="799" spans="1:36" x14ac:dyDescent="0.3">
      <c r="A799" s="62"/>
      <c r="B799" s="11"/>
      <c r="C799" s="11"/>
      <c r="D799" s="11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1"/>
      <c r="S799" s="7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2"/>
    </row>
    <row r="800" spans="1:36" x14ac:dyDescent="0.3">
      <c r="A800" s="62"/>
      <c r="B800" s="11"/>
      <c r="C800" s="11"/>
      <c r="D800" s="11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1"/>
      <c r="S800" s="7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2"/>
    </row>
    <row r="801" spans="1:36" x14ac:dyDescent="0.3">
      <c r="A801" s="62"/>
      <c r="B801" s="11"/>
      <c r="C801" s="11"/>
      <c r="D801" s="11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1"/>
      <c r="S801" s="7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2"/>
    </row>
    <row r="802" spans="1:36" x14ac:dyDescent="0.3">
      <c r="A802" s="62"/>
      <c r="B802" s="11"/>
      <c r="C802" s="11"/>
      <c r="D802" s="11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1"/>
      <c r="S802" s="7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2"/>
    </row>
    <row r="803" spans="1:36" x14ac:dyDescent="0.3">
      <c r="A803" s="62"/>
      <c r="B803" s="11"/>
      <c r="C803" s="11"/>
      <c r="D803" s="11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1"/>
      <c r="S803" s="7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2"/>
    </row>
    <row r="804" spans="1:36" x14ac:dyDescent="0.3">
      <c r="A804" s="62"/>
      <c r="B804" s="11"/>
      <c r="C804" s="11"/>
      <c r="D804" s="11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1"/>
      <c r="S804" s="7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2"/>
    </row>
    <row r="805" spans="1:36" x14ac:dyDescent="0.3">
      <c r="A805" s="62"/>
      <c r="B805" s="11"/>
      <c r="C805" s="11"/>
      <c r="D805" s="11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1"/>
      <c r="S805" s="7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2"/>
    </row>
    <row r="806" spans="1:36" x14ac:dyDescent="0.3">
      <c r="A806" s="62"/>
      <c r="B806" s="11"/>
      <c r="C806" s="11"/>
      <c r="D806" s="11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1"/>
      <c r="S806" s="7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2"/>
    </row>
    <row r="807" spans="1:36" x14ac:dyDescent="0.3">
      <c r="A807" s="62"/>
      <c r="B807" s="11"/>
      <c r="C807" s="11"/>
      <c r="D807" s="11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1"/>
      <c r="S807" s="7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2"/>
    </row>
    <row r="808" spans="1:36" x14ac:dyDescent="0.3">
      <c r="A808" s="62"/>
      <c r="B808" s="11"/>
      <c r="C808" s="11"/>
      <c r="D808" s="11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1"/>
      <c r="S808" s="7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2"/>
    </row>
    <row r="809" spans="1:36" x14ac:dyDescent="0.3">
      <c r="A809" s="62"/>
      <c r="B809" s="11"/>
      <c r="C809" s="11"/>
      <c r="D809" s="11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1"/>
      <c r="S809" s="7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2"/>
    </row>
    <row r="810" spans="1:36" x14ac:dyDescent="0.3">
      <c r="A810" s="62"/>
      <c r="B810" s="11"/>
      <c r="C810" s="11"/>
      <c r="D810" s="11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1"/>
      <c r="S810" s="7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2"/>
    </row>
    <row r="811" spans="1:36" x14ac:dyDescent="0.3">
      <c r="A811" s="62"/>
      <c r="B811" s="11"/>
      <c r="C811" s="11"/>
      <c r="D811" s="11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1"/>
      <c r="S811" s="7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2"/>
    </row>
    <row r="812" spans="1:36" x14ac:dyDescent="0.3">
      <c r="A812" s="62"/>
      <c r="B812" s="11"/>
      <c r="C812" s="11"/>
      <c r="D812" s="11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1"/>
      <c r="S812" s="7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2"/>
    </row>
    <row r="813" spans="1:36" x14ac:dyDescent="0.3">
      <c r="A813" s="62"/>
      <c r="B813" s="11"/>
      <c r="C813" s="11"/>
      <c r="D813" s="11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1"/>
      <c r="S813" s="7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2"/>
    </row>
    <row r="814" spans="1:36" x14ac:dyDescent="0.3">
      <c r="A814" s="62"/>
      <c r="B814" s="11"/>
      <c r="C814" s="11"/>
      <c r="D814" s="11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1"/>
      <c r="S814" s="7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2"/>
    </row>
    <row r="815" spans="1:36" x14ac:dyDescent="0.3">
      <c r="A815" s="62"/>
      <c r="B815" s="11"/>
      <c r="C815" s="11"/>
      <c r="D815" s="11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1"/>
      <c r="S815" s="7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2"/>
    </row>
    <row r="816" spans="1:36" x14ac:dyDescent="0.3">
      <c r="A816" s="62"/>
      <c r="B816" s="11"/>
      <c r="C816" s="11"/>
      <c r="D816" s="11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1"/>
      <c r="S816" s="7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2"/>
    </row>
    <row r="817" spans="1:36" x14ac:dyDescent="0.3">
      <c r="A817" s="62"/>
      <c r="B817" s="11"/>
      <c r="C817" s="11"/>
      <c r="D817" s="11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1"/>
      <c r="S817" s="7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2"/>
    </row>
    <row r="818" spans="1:36" x14ac:dyDescent="0.3">
      <c r="A818" s="62"/>
      <c r="B818" s="11"/>
      <c r="C818" s="11"/>
      <c r="D818" s="11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1"/>
      <c r="S818" s="7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2"/>
    </row>
    <row r="819" spans="1:36" x14ac:dyDescent="0.3">
      <c r="A819" s="62"/>
      <c r="B819" s="11"/>
      <c r="C819" s="11"/>
      <c r="D819" s="11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1"/>
      <c r="S819" s="7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2"/>
    </row>
    <row r="820" spans="1:36" x14ac:dyDescent="0.3">
      <c r="A820" s="62"/>
      <c r="B820" s="11"/>
      <c r="C820" s="11"/>
      <c r="D820" s="11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1"/>
      <c r="S820" s="7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2"/>
    </row>
    <row r="821" spans="1:36" x14ac:dyDescent="0.3">
      <c r="A821" s="62"/>
      <c r="B821" s="11"/>
      <c r="C821" s="11"/>
      <c r="D821" s="11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1"/>
      <c r="S821" s="7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2"/>
    </row>
    <row r="822" spans="1:36" x14ac:dyDescent="0.3">
      <c r="A822" s="62"/>
      <c r="B822" s="11"/>
      <c r="C822" s="11"/>
      <c r="D822" s="11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1"/>
      <c r="S822" s="7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2"/>
    </row>
    <row r="823" spans="1:36" x14ac:dyDescent="0.3">
      <c r="A823" s="62"/>
      <c r="B823" s="11"/>
      <c r="C823" s="11"/>
      <c r="D823" s="11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1"/>
      <c r="S823" s="7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2"/>
    </row>
    <row r="824" spans="1:36" x14ac:dyDescent="0.3">
      <c r="A824" s="62"/>
      <c r="B824" s="11"/>
      <c r="C824" s="11"/>
      <c r="D824" s="11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1"/>
      <c r="S824" s="7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2"/>
    </row>
    <row r="825" spans="1:36" x14ac:dyDescent="0.3">
      <c r="A825" s="62"/>
      <c r="B825" s="11"/>
      <c r="C825" s="11"/>
      <c r="D825" s="11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1"/>
      <c r="S825" s="7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2"/>
    </row>
    <row r="826" spans="1:36" x14ac:dyDescent="0.3">
      <c r="A826" s="62"/>
      <c r="B826" s="11"/>
      <c r="C826" s="11"/>
      <c r="D826" s="11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1"/>
      <c r="S826" s="7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2"/>
    </row>
    <row r="827" spans="1:36" x14ac:dyDescent="0.3">
      <c r="A827" s="62"/>
      <c r="B827" s="11"/>
      <c r="C827" s="11"/>
      <c r="D827" s="11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1"/>
      <c r="S827" s="7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2"/>
    </row>
    <row r="828" spans="1:36" x14ac:dyDescent="0.3">
      <c r="A828" s="62"/>
      <c r="B828" s="11"/>
      <c r="C828" s="11"/>
      <c r="D828" s="11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1"/>
      <c r="S828" s="7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2"/>
    </row>
    <row r="829" spans="1:36" x14ac:dyDescent="0.3">
      <c r="A829" s="62"/>
      <c r="B829" s="11"/>
      <c r="C829" s="11"/>
      <c r="D829" s="11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1"/>
      <c r="S829" s="7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2"/>
    </row>
    <row r="830" spans="1:36" x14ac:dyDescent="0.3">
      <c r="A830" s="62"/>
      <c r="B830" s="11"/>
      <c r="C830" s="11"/>
      <c r="D830" s="11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1"/>
      <c r="S830" s="7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2"/>
    </row>
    <row r="831" spans="1:36" x14ac:dyDescent="0.3">
      <c r="A831" s="62"/>
      <c r="B831" s="11"/>
      <c r="C831" s="11"/>
      <c r="D831" s="11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1"/>
      <c r="S831" s="7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2"/>
    </row>
    <row r="832" spans="1:36" x14ac:dyDescent="0.3">
      <c r="A832" s="62"/>
      <c r="B832" s="11"/>
      <c r="C832" s="11"/>
      <c r="D832" s="11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1"/>
      <c r="S832" s="7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2"/>
    </row>
    <row r="833" spans="1:36" x14ac:dyDescent="0.3">
      <c r="A833" s="62"/>
      <c r="B833" s="11"/>
      <c r="C833" s="11"/>
      <c r="D833" s="11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1"/>
      <c r="S833" s="7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2"/>
    </row>
    <row r="834" spans="1:36" x14ac:dyDescent="0.3">
      <c r="A834" s="62"/>
      <c r="B834" s="11"/>
      <c r="C834" s="11"/>
      <c r="D834" s="11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1"/>
      <c r="S834" s="7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2"/>
    </row>
    <row r="835" spans="1:36" x14ac:dyDescent="0.3">
      <c r="A835" s="62"/>
      <c r="B835" s="11"/>
      <c r="C835" s="11"/>
      <c r="D835" s="11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1"/>
      <c r="S835" s="7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2"/>
    </row>
    <row r="836" spans="1:36" x14ac:dyDescent="0.3">
      <c r="A836" s="62"/>
      <c r="B836" s="11"/>
      <c r="C836" s="11"/>
      <c r="D836" s="11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1"/>
      <c r="S836" s="7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2"/>
    </row>
    <row r="837" spans="1:36" x14ac:dyDescent="0.3">
      <c r="A837" s="62"/>
      <c r="B837" s="11"/>
      <c r="C837" s="11"/>
      <c r="D837" s="11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1"/>
      <c r="S837" s="7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2"/>
    </row>
    <row r="838" spans="1:36" x14ac:dyDescent="0.3">
      <c r="A838" s="62"/>
      <c r="B838" s="11"/>
      <c r="C838" s="11"/>
      <c r="D838" s="11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1"/>
      <c r="S838" s="7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2"/>
    </row>
    <row r="839" spans="1:36" x14ac:dyDescent="0.3">
      <c r="A839" s="62"/>
      <c r="B839" s="11"/>
      <c r="C839" s="11"/>
      <c r="D839" s="11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1"/>
      <c r="S839" s="7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2"/>
    </row>
    <row r="840" spans="1:36" x14ac:dyDescent="0.3">
      <c r="A840" s="62"/>
      <c r="B840" s="11"/>
      <c r="C840" s="11"/>
      <c r="D840" s="11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1"/>
      <c r="S840" s="7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2"/>
    </row>
    <row r="841" spans="1:36" x14ac:dyDescent="0.3">
      <c r="A841" s="62"/>
      <c r="B841" s="11"/>
      <c r="C841" s="11"/>
      <c r="D841" s="11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1"/>
      <c r="S841" s="7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2"/>
    </row>
    <row r="842" spans="1:36" x14ac:dyDescent="0.3">
      <c r="A842" s="62"/>
      <c r="B842" s="11"/>
      <c r="C842" s="11"/>
      <c r="D842" s="11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1"/>
      <c r="S842" s="7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2"/>
    </row>
    <row r="843" spans="1:36" x14ac:dyDescent="0.3">
      <c r="A843" s="62"/>
      <c r="B843" s="11"/>
      <c r="C843" s="11"/>
      <c r="D843" s="11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1"/>
      <c r="S843" s="7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2"/>
    </row>
    <row r="844" spans="1:36" x14ac:dyDescent="0.3">
      <c r="A844" s="62"/>
      <c r="B844" s="11"/>
      <c r="C844" s="11"/>
      <c r="D844" s="11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1"/>
      <c r="S844" s="7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2"/>
    </row>
    <row r="845" spans="1:36" x14ac:dyDescent="0.3">
      <c r="A845" s="62"/>
      <c r="B845" s="11"/>
      <c r="C845" s="11"/>
      <c r="D845" s="11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1"/>
      <c r="S845" s="7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2"/>
    </row>
    <row r="846" spans="1:36" x14ac:dyDescent="0.3">
      <c r="A846" s="62"/>
      <c r="B846" s="11"/>
      <c r="C846" s="11"/>
      <c r="D846" s="11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1"/>
      <c r="S846" s="7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2"/>
    </row>
    <row r="847" spans="1:36" x14ac:dyDescent="0.3">
      <c r="A847" s="62"/>
      <c r="B847" s="11"/>
      <c r="C847" s="11"/>
      <c r="D847" s="11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1"/>
      <c r="S847" s="7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2"/>
    </row>
    <row r="848" spans="1:36" x14ac:dyDescent="0.3">
      <c r="A848" s="62"/>
      <c r="B848" s="11"/>
      <c r="C848" s="11"/>
      <c r="D848" s="11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1"/>
      <c r="S848" s="7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2"/>
    </row>
    <row r="849" spans="1:36" x14ac:dyDescent="0.3">
      <c r="A849" s="62"/>
      <c r="B849" s="11"/>
      <c r="C849" s="11"/>
      <c r="D849" s="11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1"/>
      <c r="S849" s="7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2"/>
    </row>
    <row r="850" spans="1:36" x14ac:dyDescent="0.3">
      <c r="A850" s="62"/>
      <c r="B850" s="11"/>
      <c r="C850" s="11"/>
      <c r="D850" s="11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1"/>
      <c r="S850" s="7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2"/>
    </row>
    <row r="851" spans="1:36" x14ac:dyDescent="0.3">
      <c r="A851" s="62"/>
      <c r="B851" s="11"/>
      <c r="C851" s="11"/>
      <c r="D851" s="11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1"/>
      <c r="S851" s="7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2"/>
    </row>
    <row r="852" spans="1:36" x14ac:dyDescent="0.3">
      <c r="A852" s="62"/>
      <c r="B852" s="11"/>
      <c r="C852" s="11"/>
      <c r="D852" s="11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1"/>
      <c r="S852" s="7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2"/>
    </row>
    <row r="853" spans="1:36" x14ac:dyDescent="0.3">
      <c r="A853" s="62"/>
      <c r="B853" s="11"/>
      <c r="C853" s="11"/>
      <c r="D853" s="11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1"/>
      <c r="S853" s="7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2"/>
    </row>
    <row r="854" spans="1:36" x14ac:dyDescent="0.3">
      <c r="A854" s="62"/>
      <c r="B854" s="11"/>
      <c r="C854" s="11"/>
      <c r="D854" s="11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1"/>
      <c r="S854" s="7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2"/>
    </row>
    <row r="855" spans="1:36" x14ac:dyDescent="0.3">
      <c r="A855" s="62"/>
      <c r="B855" s="11"/>
      <c r="C855" s="11"/>
      <c r="D855" s="11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1"/>
      <c r="S855" s="7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2"/>
    </row>
    <row r="856" spans="1:36" x14ac:dyDescent="0.3">
      <c r="A856" s="62"/>
      <c r="B856" s="11"/>
      <c r="C856" s="11"/>
      <c r="D856" s="11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1"/>
      <c r="S856" s="7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2"/>
    </row>
    <row r="857" spans="1:36" x14ac:dyDescent="0.3">
      <c r="A857" s="62"/>
      <c r="B857" s="11"/>
      <c r="C857" s="11"/>
      <c r="D857" s="11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1"/>
      <c r="S857" s="7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2"/>
    </row>
    <row r="858" spans="1:36" x14ac:dyDescent="0.3">
      <c r="A858" s="62"/>
      <c r="B858" s="11"/>
      <c r="C858" s="11"/>
      <c r="D858" s="11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1"/>
      <c r="S858" s="7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2"/>
    </row>
    <row r="859" spans="1:36" x14ac:dyDescent="0.3">
      <c r="A859" s="62"/>
      <c r="B859" s="11"/>
      <c r="C859" s="11"/>
      <c r="D859" s="11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1"/>
      <c r="S859" s="7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2"/>
    </row>
    <row r="860" spans="1:36" x14ac:dyDescent="0.3">
      <c r="A860" s="62"/>
      <c r="B860" s="11"/>
      <c r="C860" s="11"/>
      <c r="D860" s="11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1"/>
      <c r="S860" s="7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2"/>
    </row>
    <row r="861" spans="1:36" x14ac:dyDescent="0.3">
      <c r="A861" s="62"/>
      <c r="B861" s="11"/>
      <c r="C861" s="11"/>
      <c r="D861" s="11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1"/>
      <c r="S861" s="7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2"/>
    </row>
    <row r="862" spans="1:36" x14ac:dyDescent="0.3">
      <c r="A862" s="62"/>
      <c r="B862" s="11"/>
      <c r="C862" s="11"/>
      <c r="D862" s="11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1"/>
      <c r="S862" s="7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2"/>
    </row>
    <row r="863" spans="1:36" x14ac:dyDescent="0.3">
      <c r="A863" s="62"/>
      <c r="B863" s="11"/>
      <c r="C863" s="11"/>
      <c r="D863" s="11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1"/>
      <c r="S863" s="7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2"/>
    </row>
    <row r="864" spans="1:36" x14ac:dyDescent="0.3">
      <c r="A864" s="62"/>
      <c r="B864" s="11"/>
      <c r="C864" s="11"/>
      <c r="D864" s="11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1"/>
      <c r="S864" s="7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2"/>
    </row>
    <row r="865" spans="1:36" x14ac:dyDescent="0.3">
      <c r="A865" s="62"/>
      <c r="B865" s="11"/>
      <c r="C865" s="11"/>
      <c r="D865" s="11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1"/>
      <c r="S865" s="7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2"/>
    </row>
    <row r="866" spans="1:36" x14ac:dyDescent="0.3">
      <c r="A866" s="62"/>
      <c r="B866" s="11"/>
      <c r="C866" s="11"/>
      <c r="D866" s="11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1"/>
      <c r="S866" s="7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2"/>
    </row>
    <row r="867" spans="1:36" x14ac:dyDescent="0.3">
      <c r="A867" s="62"/>
      <c r="B867" s="11"/>
      <c r="C867" s="11"/>
      <c r="D867" s="11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1"/>
      <c r="S867" s="7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2"/>
    </row>
    <row r="868" spans="1:36" x14ac:dyDescent="0.3">
      <c r="A868" s="62"/>
      <c r="B868" s="11"/>
      <c r="C868" s="11"/>
      <c r="D868" s="11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1"/>
      <c r="S868" s="7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2"/>
    </row>
    <row r="869" spans="1:36" x14ac:dyDescent="0.3">
      <c r="A869" s="62"/>
      <c r="B869" s="11"/>
      <c r="C869" s="11"/>
      <c r="D869" s="11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1"/>
      <c r="S869" s="7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2"/>
    </row>
    <row r="870" spans="1:36" x14ac:dyDescent="0.3">
      <c r="A870" s="62"/>
      <c r="B870" s="11"/>
      <c r="C870" s="11"/>
      <c r="D870" s="11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1"/>
      <c r="S870" s="7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2"/>
    </row>
    <row r="871" spans="1:36" x14ac:dyDescent="0.3">
      <c r="A871" s="62"/>
      <c r="B871" s="11"/>
      <c r="C871" s="11"/>
      <c r="D871" s="11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1"/>
      <c r="S871" s="7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2"/>
    </row>
    <row r="872" spans="1:36" x14ac:dyDescent="0.3">
      <c r="A872" s="62"/>
      <c r="B872" s="11"/>
      <c r="C872" s="11"/>
      <c r="D872" s="11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1"/>
      <c r="S872" s="7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2"/>
    </row>
    <row r="873" spans="1:36" x14ac:dyDescent="0.3">
      <c r="A873" s="62"/>
      <c r="B873" s="11"/>
      <c r="C873" s="11"/>
      <c r="D873" s="11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1"/>
      <c r="S873" s="7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2"/>
    </row>
    <row r="874" spans="1:36" x14ac:dyDescent="0.3">
      <c r="A874" s="62"/>
      <c r="B874" s="11"/>
      <c r="C874" s="11"/>
      <c r="D874" s="11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1"/>
      <c r="S874" s="7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2"/>
    </row>
    <row r="875" spans="1:36" x14ac:dyDescent="0.3">
      <c r="A875" s="62"/>
      <c r="B875" s="11"/>
      <c r="C875" s="11"/>
      <c r="D875" s="11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1"/>
      <c r="S875" s="7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2"/>
    </row>
    <row r="876" spans="1:36" x14ac:dyDescent="0.3">
      <c r="A876" s="62"/>
      <c r="B876" s="11"/>
      <c r="C876" s="11"/>
      <c r="D876" s="11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1"/>
      <c r="S876" s="7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2"/>
    </row>
    <row r="877" spans="1:36" x14ac:dyDescent="0.3">
      <c r="A877" s="62"/>
      <c r="B877" s="11"/>
      <c r="C877" s="11"/>
      <c r="D877" s="11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1"/>
      <c r="S877" s="7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2"/>
    </row>
    <row r="878" spans="1:36" x14ac:dyDescent="0.3">
      <c r="A878" s="62"/>
      <c r="B878" s="11"/>
      <c r="C878" s="11"/>
      <c r="D878" s="11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1"/>
      <c r="S878" s="7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2"/>
    </row>
    <row r="879" spans="1:36" x14ac:dyDescent="0.3">
      <c r="A879" s="62"/>
      <c r="B879" s="11"/>
      <c r="C879" s="11"/>
      <c r="D879" s="11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1"/>
      <c r="S879" s="7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2"/>
    </row>
    <row r="880" spans="1:36" x14ac:dyDescent="0.3">
      <c r="A880" s="62"/>
      <c r="B880" s="11"/>
      <c r="C880" s="11"/>
      <c r="D880" s="11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1"/>
      <c r="S880" s="7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2"/>
    </row>
    <row r="881" spans="1:36" x14ac:dyDescent="0.3">
      <c r="A881" s="62"/>
      <c r="B881" s="11"/>
      <c r="C881" s="11"/>
      <c r="D881" s="11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1"/>
      <c r="S881" s="7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2"/>
    </row>
    <row r="882" spans="1:36" x14ac:dyDescent="0.3">
      <c r="A882" s="62"/>
      <c r="B882" s="11"/>
      <c r="C882" s="11"/>
      <c r="D882" s="11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1"/>
      <c r="S882" s="7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2"/>
    </row>
    <row r="883" spans="1:36" x14ac:dyDescent="0.3">
      <c r="A883" s="62"/>
      <c r="B883" s="11"/>
      <c r="C883" s="11"/>
      <c r="D883" s="11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1"/>
      <c r="S883" s="7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2"/>
    </row>
  </sheetData>
  <mergeCells count="25">
    <mergeCell ref="B25:S25"/>
    <mergeCell ref="B27:S27"/>
    <mergeCell ref="B24:C24"/>
    <mergeCell ref="C1:D1"/>
    <mergeCell ref="A10:A11"/>
    <mergeCell ref="B10:B11"/>
    <mergeCell ref="C10:C11"/>
    <mergeCell ref="D10:D11"/>
    <mergeCell ref="B19:C19"/>
    <mergeCell ref="B13:S13"/>
    <mergeCell ref="B16:S16"/>
    <mergeCell ref="B20:S20"/>
    <mergeCell ref="B22:S22"/>
    <mergeCell ref="E10:E11"/>
    <mergeCell ref="F10:F11"/>
    <mergeCell ref="B12:C12"/>
    <mergeCell ref="S10:S11"/>
    <mergeCell ref="G10:G11"/>
    <mergeCell ref="H10:J10"/>
    <mergeCell ref="K10:K11"/>
    <mergeCell ref="L10:L11"/>
    <mergeCell ref="M10:M11"/>
    <mergeCell ref="N10:P10"/>
    <mergeCell ref="Q10:Q11"/>
    <mergeCell ref="R10:R11"/>
  </mergeCells>
  <conditionalFormatting sqref="E10">
    <cfRule type="cellIs" dxfId="35" priority="84" stopIfTrue="1" operator="equal">
      <formula>"PE"</formula>
    </cfRule>
    <cfRule type="cellIs" dxfId="34" priority="83" stopIfTrue="1" operator="equal">
      <formula>"F"</formula>
    </cfRule>
    <cfRule type="cellIs" dxfId="33" priority="82" stopIfTrue="1" operator="equal">
      <formula>"P"</formula>
    </cfRule>
  </conditionalFormatting>
  <conditionalFormatting sqref="E23:F23">
    <cfRule type="cellIs" dxfId="32" priority="1" stopIfTrue="1" operator="equal">
      <formula>"P"</formula>
    </cfRule>
    <cfRule type="cellIs" dxfId="31" priority="2" stopIfTrue="1" operator="equal">
      <formula>"F"</formula>
    </cfRule>
    <cfRule type="cellIs" dxfId="30" priority="3" stopIfTrue="1" operator="equal">
      <formula>"PE"</formula>
    </cfRule>
  </conditionalFormatting>
  <conditionalFormatting sqref="E21:Q21">
    <cfRule type="cellIs" dxfId="29" priority="4" stopIfTrue="1" operator="equal">
      <formula>"P"</formula>
    </cfRule>
    <cfRule type="cellIs" dxfId="28" priority="5" stopIfTrue="1" operator="equal">
      <formula>"F"</formula>
    </cfRule>
    <cfRule type="cellIs" dxfId="27" priority="6" stopIfTrue="1" operator="equal">
      <formula>"PE"</formula>
    </cfRule>
  </conditionalFormatting>
  <conditionalFormatting sqref="E12:S12 E479:G883">
    <cfRule type="cellIs" dxfId="26" priority="73" stopIfTrue="1" operator="equal">
      <formula>"P"</formula>
    </cfRule>
    <cfRule type="cellIs" dxfId="25" priority="74" stopIfTrue="1" operator="equal">
      <formula>"F"</formula>
    </cfRule>
    <cfRule type="cellIs" dxfId="24" priority="75" stopIfTrue="1" operator="equal">
      <formula>"PE"</formula>
    </cfRule>
  </conditionalFormatting>
  <conditionalFormatting sqref="E19:S19">
    <cfRule type="cellIs" dxfId="23" priority="7" stopIfTrue="1" operator="equal">
      <formula>"P"</formula>
    </cfRule>
    <cfRule type="cellIs" dxfId="22" priority="8" stopIfTrue="1" operator="equal">
      <formula>"F"</formula>
    </cfRule>
    <cfRule type="cellIs" dxfId="21" priority="9" stopIfTrue="1" operator="equal">
      <formula>"PE"</formula>
    </cfRule>
  </conditionalFormatting>
  <conditionalFormatting sqref="E24:S24">
    <cfRule type="cellIs" dxfId="20" priority="19" stopIfTrue="1" operator="equal">
      <formula>"P"</formula>
    </cfRule>
    <cfRule type="cellIs" dxfId="19" priority="20" stopIfTrue="1" operator="equal">
      <formula>"F"</formula>
    </cfRule>
    <cfRule type="cellIs" dxfId="18" priority="21" stopIfTrue="1" operator="equal">
      <formula>"PE"</formula>
    </cfRule>
  </conditionalFormatting>
  <conditionalFormatting sqref="H11:I11">
    <cfRule type="cellIs" dxfId="17" priority="88" stopIfTrue="1" operator="equal">
      <formula>"P"</formula>
    </cfRule>
    <cfRule type="cellIs" dxfId="16" priority="89" stopIfTrue="1" operator="equal">
      <formula>"F"</formula>
    </cfRule>
    <cfRule type="cellIs" dxfId="15" priority="90" stopIfTrue="1" operator="equal">
      <formula>"PE"</formula>
    </cfRule>
  </conditionalFormatting>
  <conditionalFormatting sqref="H12:N12">
    <cfRule type="cellIs" dxfId="14" priority="76" stopIfTrue="1" operator="equal">
      <formula>"P"</formula>
    </cfRule>
    <cfRule type="cellIs" dxfId="13" priority="77" stopIfTrue="1" operator="equal">
      <formula>"F"</formula>
    </cfRule>
    <cfRule type="cellIs" dxfId="12" priority="78" stopIfTrue="1" operator="equal">
      <formula>"PE"</formula>
    </cfRule>
  </conditionalFormatting>
  <conditionalFormatting sqref="H19:N19">
    <cfRule type="cellIs" dxfId="11" priority="10" stopIfTrue="1" operator="equal">
      <formula>"P"</formula>
    </cfRule>
    <cfRule type="cellIs" dxfId="10" priority="11" stopIfTrue="1" operator="equal">
      <formula>"F"</formula>
    </cfRule>
    <cfRule type="cellIs" dxfId="9" priority="12" stopIfTrue="1" operator="equal">
      <formula>"PE"</formula>
    </cfRule>
  </conditionalFormatting>
  <conditionalFormatting sqref="H24:N24">
    <cfRule type="cellIs" dxfId="8" priority="24" stopIfTrue="1" operator="equal">
      <formula>"PE"</formula>
    </cfRule>
    <cfRule type="cellIs" dxfId="7" priority="23" stopIfTrue="1" operator="equal">
      <formula>"F"</formula>
    </cfRule>
    <cfRule type="cellIs" dxfId="6" priority="22" stopIfTrue="1" operator="equal">
      <formula>"P"</formula>
    </cfRule>
  </conditionalFormatting>
  <conditionalFormatting sqref="I11:J11">
    <cfRule type="cellIs" dxfId="5" priority="85" stopIfTrue="1" operator="equal">
      <formula>"P"</formula>
    </cfRule>
    <cfRule type="cellIs" dxfId="4" priority="86" stopIfTrue="1" operator="equal">
      <formula>"F"</formula>
    </cfRule>
    <cfRule type="cellIs" dxfId="3" priority="87" stopIfTrue="1" operator="equal">
      <formula>"PE"</formula>
    </cfRule>
  </conditionalFormatting>
  <conditionalFormatting sqref="N11:O11">
    <cfRule type="cellIs" dxfId="2" priority="94" stopIfTrue="1" operator="equal">
      <formula>"P"</formula>
    </cfRule>
    <cfRule type="cellIs" dxfId="1" priority="95" stopIfTrue="1" operator="equal">
      <formula>"F"</formula>
    </cfRule>
    <cfRule type="cellIs" dxfId="0" priority="96" stopIfTrue="1" operator="equal">
      <formula>"PE"</formula>
    </cfRule>
  </conditionalFormatting>
  <dataValidations count="1">
    <dataValidation type="list" allowBlank="1" showErrorMessage="1" sqref="E479:G883 H18:J18 H14:J15 E21:P21 N18:P18 N14:P15 E23:F23" xr:uid="{00000000-0002-0000-0100-000000000000}">
      <formula1>"P,F,PE"</formula1>
    </dataValidation>
  </dataValidation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Function_1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Windows</cp:lastModifiedBy>
  <dcterms:created xsi:type="dcterms:W3CDTF">2020-07-07T02:38:16Z</dcterms:created>
  <dcterms:modified xsi:type="dcterms:W3CDTF">2026-01-21T07:38:50Z</dcterms:modified>
</cp:coreProperties>
</file>